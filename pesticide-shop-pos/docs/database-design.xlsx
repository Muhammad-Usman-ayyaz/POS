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ables" sheetId="2" state="visible" r:id="rId4"/>
    <sheet name="Columns" sheetId="3" state="visible" r:id="rId5"/>
    <sheet name="Relationships" sheetId="4" state="visible" r:id="rId6"/>
    <sheet name="Common columns" sheetId="5" state="visible" r:id="rId7"/>
    <sheet name="Decisions" sheetId="6" state="visible" r:id="rId8"/>
    <sheet name="Open questions" sheetId="7" state="visible" r:id="rId9"/>
  </sheets>
  <definedNames>
    <definedName function="false" hidden="true" localSheetId="2" name="_xlnm._FilterDatabase" vbProcedure="false">Columns!$A$1:$F$183</definedName>
    <definedName function="false" hidden="true" localSheetId="4" name="_xlnm._FilterDatabase" vbProcedure="false">'Common columns'!$A$1:$D$8</definedName>
    <definedName function="false" hidden="true" localSheetId="5" name="_xlnm._FilterDatabase" vbProcedure="false">Decisions!$A$1:$B$20</definedName>
    <definedName function="false" hidden="true" localSheetId="3" name="_xlnm._FilterDatabase" vbProcedure="false">Relationships!$A$1:$E$24</definedName>
    <definedName function="false" hidden="true" localSheetId="1" name="_xlnm._FilterDatabase" vbProcedure="false">Tables!$A$1:$G$28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<sst xmlns="http://schemas.openxmlformats.org/spreadsheetml/2006/main" count="1142" uniqueCount="420">
  <si>
    <t xml:space="preserve">Pesticide Club Shop: database design</t>
  </si>
  <si>
    <t xml:space="preserve">Copied from the ERD agreed in chat. Tables marked Proposed were listed but not drawn, and their columns are suggestions.</t>
  </si>
  <si>
    <t xml:space="preserve">Sheet</t>
  </si>
  <si>
    <t xml:space="preserve">What it holds</t>
  </si>
  <si>
    <t xml:space="preserve">Tables</t>
  </si>
  <si>
    <t xml:space="preserve">All tables with group, purpose, type, status and a live column count</t>
  </si>
  <si>
    <t xml:space="preserve">Columns</t>
  </si>
  <si>
    <t xml:space="preserve">Every column with type, key, foreign key target and notes</t>
  </si>
  <si>
    <t xml:space="preserve">Relationships</t>
  </si>
  <si>
    <t xml:space="preserve">Parent and child tables with the foreign key column</t>
  </si>
  <si>
    <t xml:space="preserve">Common columns</t>
  </si>
  <si>
    <t xml:space="preserve">Columns added to every table for sync and multi-branch</t>
  </si>
  <si>
    <t xml:space="preserve">Decisions</t>
  </si>
  <si>
    <t xml:space="preserve">Your answers and what each one does to the schema</t>
  </si>
  <si>
    <t xml:space="preserve">Open questions</t>
  </si>
  <si>
    <t xml:space="preserve">Questions for the owner. Type his answers in the yellow cells</t>
  </si>
  <si>
    <t xml:space="preserve">Totals</t>
  </si>
  <si>
    <t xml:space="preserve">Tables in the ERD</t>
  </si>
  <si>
    <t xml:space="preserve">Proposed tables</t>
  </si>
  <si>
    <t xml:space="preserve">Columns listed</t>
  </si>
  <si>
    <t xml:space="preserve">Foreign keys</t>
  </si>
  <si>
    <t xml:space="preserve">Conventions</t>
  </si>
  <si>
    <t xml:space="preserve">Primary keys are UUIDs stored as text.</t>
  </si>
  <si>
    <t xml:space="preserve">Money is stored as whole numbers in paisa. Never decimals or floats.</t>
  </si>
  <si>
    <t xml:space="preserve">Quantities are whole numbers in the base unit (ml, g or piece).</t>
  </si>
  <si>
    <t xml:space="preserve">Prices are per pack. A loose line total is rounded once per invoice line.</t>
  </si>
  <si>
    <t xml:space="preserve">Timestamps are UTC ISO text, shown in local time.</t>
  </si>
  <si>
    <t xml:space="preserve">Stock and balances are never stored. They are sums of stock_movements and ledger_entries.</t>
  </si>
  <si>
    <t xml:space="preserve">Append-only tables are never edited or deleted. Mistakes become reversing rows.</t>
  </si>
  <si>
    <t xml:space="preserve">Transaction records (invoices, purchases, returns) are never deleted. A void or return adds new rows.</t>
  </si>
  <si>
    <t xml:space="preserve">Table</t>
  </si>
  <si>
    <t xml:space="preserve">Group</t>
  </si>
  <si>
    <t xml:space="preserve">Purpose</t>
  </si>
  <si>
    <t xml:space="preserve">Type</t>
  </si>
  <si>
    <t xml:space="preserve">Status</t>
  </si>
  <si>
    <t xml:space="preserve">Notes</t>
  </si>
  <si>
    <t xml:space="preserve">categories</t>
  </si>
  <si>
    <t xml:space="preserve">Catalog</t>
  </si>
  <si>
    <t xml:space="preserve">Product categories</t>
  </si>
  <si>
    <t xml:space="preserve">Editable</t>
  </si>
  <si>
    <t xml:space="preserve">In ERD</t>
  </si>
  <si>
    <t xml:space="preserve">brands</t>
  </si>
  <si>
    <t xml:space="preserve">Product brands</t>
  </si>
  <si>
    <t xml:space="preserve">products</t>
  </si>
  <si>
    <t xml:space="preserve">Items sold, with retail and wholesale prices, tax rate and unit setup</t>
  </si>
  <si>
    <t xml:space="preserve">Prices are per pack in paisa. Loose sales use base units</t>
  </si>
  <si>
    <t xml:space="preserve">batches</t>
  </si>
  <si>
    <t xml:space="preserve">Batch number, expiry date and cost for each product delivery</t>
  </si>
  <si>
    <t xml:space="preserve">Batch and expiry required on all products</t>
  </si>
  <si>
    <t xml:space="preserve">stock_movements</t>
  </si>
  <si>
    <t xml:space="preserve">Stock</t>
  </si>
  <si>
    <t xml:space="preserve">Every stock change as a signed quantity per batch</t>
  </si>
  <si>
    <t xml:space="preserve">Append-only</t>
  </si>
  <si>
    <t xml:space="preserve">Current stock = sum of qty_delta per batch. Never stored as an editable number</t>
  </si>
  <si>
    <t xml:space="preserve">suppliers</t>
  </si>
  <si>
    <t xml:space="preserve">Purchasing</t>
  </si>
  <si>
    <t xml:space="preserve">Companies and dealers he buys from</t>
  </si>
  <si>
    <t xml:space="preserve">purchases</t>
  </si>
  <si>
    <t xml:space="preserve">Purchase header from a supplier</t>
  </si>
  <si>
    <t xml:space="preserve">Transaction</t>
  </si>
  <si>
    <t xml:space="preserve">purchase_items</t>
  </si>
  <si>
    <t xml:space="preserve">Items received on a purchase, one row per batch</t>
  </si>
  <si>
    <t xml:space="preserve">purchase_returns</t>
  </si>
  <si>
    <t xml:space="preserve">Stock sent back to a supplier (case by case)</t>
  </si>
  <si>
    <t xml:space="preserve">Used only when needed</t>
  </si>
  <si>
    <t xml:space="preserve">purchase_return_items</t>
  </si>
  <si>
    <t xml:space="preserve">Items on a supplier return</t>
  </si>
  <si>
    <t xml:space="preserve">customers</t>
  </si>
  <si>
    <t xml:space="preserve">People</t>
  </si>
  <si>
    <t xml:space="preserve">Farmers and other buyers, with credit limit</t>
  </si>
  <si>
    <t xml:space="preserve">Extra farmer fields are an open question</t>
  </si>
  <si>
    <t xml:space="preserve">invoices</t>
  </si>
  <si>
    <t xml:space="preserve">Sales</t>
  </si>
  <si>
    <t xml:space="preserve">Sales header: retail or wholesale, due date, status active or voided</t>
  </si>
  <si>
    <t xml:space="preserve">Never deleted. A void adds reversing rows to stock and ledger</t>
  </si>
  <si>
    <t xml:space="preserve">invoice_items</t>
  </si>
  <si>
    <t xml:space="preserve">One row per batch used on an invoice, with cost saved at sale time</t>
  </si>
  <si>
    <t xml:space="preserve">Discount is per item only. Tax saved per line</t>
  </si>
  <si>
    <t xml:space="preserve">sales_returns</t>
  </si>
  <si>
    <t xml:space="preserve">Return linked to an original invoice, approved by the owner</t>
  </si>
  <si>
    <t xml:space="preserve">A return must link to an invoice</t>
  </si>
  <si>
    <t xml:space="preserve">sales_return_items</t>
  </si>
  <si>
    <t xml:space="preserve">Returned lines pointing at the exact invoice item</t>
  </si>
  <si>
    <t xml:space="preserve">Condition decides if stock goes back as sellable</t>
  </si>
  <si>
    <t xml:space="preserve">payments</t>
  </si>
  <si>
    <t xml:space="preserve">Money</t>
  </si>
  <si>
    <t xml:space="preserve">Cash, bank, Easypaisa and JazzCash payments in or out</t>
  </si>
  <si>
    <t xml:space="preserve">Payments reduce the overall balance, not one invoice</t>
  </si>
  <si>
    <t xml:space="preserve">ledger_entries</t>
  </si>
  <si>
    <t xml:space="preserve">The Khata: signed amounts per customer or supplier</t>
  </si>
  <si>
    <t xml:space="preserve">Balance = sum of amount_delta. Opening balances go in as one row</t>
  </si>
  <si>
    <t xml:space="preserve">users</t>
  </si>
  <si>
    <t xml:space="preserve">Owner and staff logins</t>
  </si>
  <si>
    <t xml:space="preserve">Owner-only: approve returns, change prices, view profit and cost</t>
  </si>
  <si>
    <t xml:space="preserve">shops</t>
  </si>
  <si>
    <t xml:space="preserve">System</t>
  </si>
  <si>
    <t xml:space="preserve">The shop record</t>
  </si>
  <si>
    <t xml:space="preserve">Proposed (not drawn)</t>
  </si>
  <si>
    <t xml:space="preserve">One shop for now</t>
  </si>
  <si>
    <t xml:space="preserve">branches</t>
  </si>
  <si>
    <t xml:space="preserve">Branch of a shop</t>
  </si>
  <si>
    <t xml:space="preserve">One branch for now, ready for more</t>
  </si>
  <si>
    <t xml:space="preserve">devices</t>
  </si>
  <si>
    <t xml:space="preserve">Each PC running the app</t>
  </si>
  <si>
    <t xml:space="preserve">Used for invoice number prefixes and sync</t>
  </si>
  <si>
    <t xml:space="preserve">settings</t>
  </si>
  <si>
    <t xml:space="preserve">Shop name, invoice footer, near-expiry days (30), backup folders</t>
  </si>
  <si>
    <t xml:space="preserve">number_sequences</t>
  </si>
  <si>
    <t xml:space="preserve">Per-device counters for invoice and return numbers</t>
  </si>
  <si>
    <t xml:space="preserve">Example format: INV-A-000123</t>
  </si>
  <si>
    <t xml:space="preserve">expenses</t>
  </si>
  <si>
    <t xml:space="preserve">Shop expenses such as rent, salary, electricity</t>
  </si>
  <si>
    <t xml:space="preserve">Built but hidden in the UI until the owner confirms</t>
  </si>
  <si>
    <t xml:space="preserve">audit_log</t>
  </si>
  <si>
    <t xml:space="preserve">Who did what and when</t>
  </si>
  <si>
    <t xml:space="preserve">change_log</t>
  </si>
  <si>
    <t xml:space="preserve">Every write, kept for later cloud sync</t>
  </si>
  <si>
    <t xml:space="preserve">backup_log</t>
  </si>
  <si>
    <t xml:space="preserve">Result of each backup run</t>
  </si>
  <si>
    <t xml:space="preserve">Column</t>
  </si>
  <si>
    <t xml:space="preserve">Key</t>
  </si>
  <si>
    <t xml:space="preserve">References</t>
  </si>
  <si>
    <t xml:space="preserve">id</t>
  </si>
  <si>
    <t xml:space="preserve">uuid</t>
  </si>
  <si>
    <t xml:space="preserve">PK</t>
  </si>
  <si>
    <t xml:space="preserve">name_en</t>
  </si>
  <si>
    <t xml:space="preserve">text</t>
  </si>
  <si>
    <t xml:space="preserve">name_ur</t>
  </si>
  <si>
    <t xml:space="preserve">category_id</t>
  </si>
  <si>
    <t xml:space="preserve">FK</t>
  </si>
  <si>
    <t xml:space="preserve">categories.id</t>
  </si>
  <si>
    <t xml:space="preserve">brand_id</t>
  </si>
  <si>
    <t xml:space="preserve">brands.id</t>
  </si>
  <si>
    <t xml:space="preserve">sku</t>
  </si>
  <si>
    <t xml:space="preserve">barcode</t>
  </si>
  <si>
    <t xml:space="preserve">Optional</t>
  </si>
  <si>
    <t xml:space="preserve">base_unit</t>
  </si>
  <si>
    <t xml:space="preserve">ml, g or piece</t>
  </si>
  <si>
    <t xml:space="preserve">pack_size</t>
  </si>
  <si>
    <t xml:space="preserve">int</t>
  </si>
  <si>
    <t xml:space="preserve">Base units per pack</t>
  </si>
  <si>
    <t xml:space="preserve">allow_loose</t>
  </si>
  <si>
    <t xml:space="preserve">bool</t>
  </si>
  <si>
    <t xml:space="preserve">retail_price</t>
  </si>
  <si>
    <t xml:space="preserve">Paisa per pack</t>
  </si>
  <si>
    <t xml:space="preserve">wholesale_price</t>
  </si>
  <si>
    <t xml:space="preserve">tax_rate_bp</t>
  </si>
  <si>
    <t xml:space="preserve">1800 means 18 percent</t>
  </si>
  <si>
    <t xml:space="preserve">min_stock</t>
  </si>
  <si>
    <t xml:space="preserve">Base units</t>
  </si>
  <si>
    <t xml:space="preserve">is_active</t>
  </si>
  <si>
    <t xml:space="preserve">product_id</t>
  </si>
  <si>
    <t xml:space="preserve">products.id</t>
  </si>
  <si>
    <t xml:space="preserve">supplier_id</t>
  </si>
  <si>
    <t xml:space="preserve">suppliers.id</t>
  </si>
  <si>
    <t xml:space="preserve">batch_no</t>
  </si>
  <si>
    <t xml:space="preserve">expiry_date</t>
  </si>
  <si>
    <t xml:space="preserve">date</t>
  </si>
  <si>
    <t xml:space="preserve">cost_price</t>
  </si>
  <si>
    <t xml:space="preserve">batch_id</t>
  </si>
  <si>
    <t xml:space="preserve">batches.id</t>
  </si>
  <si>
    <t xml:space="preserve">qty_delta</t>
  </si>
  <si>
    <t xml:space="preserve">Base units, signed</t>
  </si>
  <si>
    <t xml:space="preserve">movement_type</t>
  </si>
  <si>
    <t xml:space="preserve">purchase, sale, return or adjust</t>
  </si>
  <si>
    <t xml:space="preserve">ref_type</t>
  </si>
  <si>
    <t xml:space="preserve">ref_id</t>
  </si>
  <si>
    <t xml:space="preserve">created_by</t>
  </si>
  <si>
    <t xml:space="preserve">User who made the movement</t>
  </si>
  <si>
    <t xml:space="preserve">created_at</t>
  </si>
  <si>
    <t xml:space="preserve">timestamp</t>
  </si>
  <si>
    <t xml:space="preserve">phone</t>
  </si>
  <si>
    <t xml:space="preserve">address</t>
  </si>
  <si>
    <t xml:space="preserve">supplier_invoice_no</t>
  </si>
  <si>
    <t xml:space="preserve">purchase_date</t>
  </si>
  <si>
    <t xml:space="preserve">discount</t>
  </si>
  <si>
    <t xml:space="preserve">Paisa</t>
  </si>
  <si>
    <t xml:space="preserve">total</t>
  </si>
  <si>
    <t xml:space="preserve">paid_amount</t>
  </si>
  <si>
    <t xml:space="preserve">purchase_id</t>
  </si>
  <si>
    <t xml:space="preserve">purchases.id</t>
  </si>
  <si>
    <t xml:space="preserve">qty</t>
  </si>
  <si>
    <t xml:space="preserve">return_date</t>
  </si>
  <si>
    <t xml:space="preserve">reason</t>
  </si>
  <si>
    <t xml:space="preserve">purchase_return_id</t>
  </si>
  <si>
    <t xml:space="preserve">purchase_returns.id</t>
  </si>
  <si>
    <t xml:space="preserve">village</t>
  </si>
  <si>
    <t xml:space="preserve">credit_limit</t>
  </si>
  <si>
    <t xml:space="preserve">default_price_type</t>
  </si>
  <si>
    <t xml:space="preserve">retail or wholesale</t>
  </si>
  <si>
    <t xml:space="preserve">notes</t>
  </si>
  <si>
    <t xml:space="preserve">invoice_no</t>
  </si>
  <si>
    <t xml:space="preserve">Example: INV-A-000123</t>
  </si>
  <si>
    <t xml:space="preserve">customer_id</t>
  </si>
  <si>
    <t xml:space="preserve">customers.id</t>
  </si>
  <si>
    <t xml:space="preserve">Empty for walk-in sales</t>
  </si>
  <si>
    <t xml:space="preserve">users.id</t>
  </si>
  <si>
    <t xml:space="preserve">invoice_date</t>
  </si>
  <si>
    <t xml:space="preserve">due_date</t>
  </si>
  <si>
    <t xml:space="preserve">price_type</t>
  </si>
  <si>
    <t xml:space="preserve">subtotal</t>
  </si>
  <si>
    <t xml:space="preserve">tax_total</t>
  </si>
  <si>
    <t xml:space="preserve">status</t>
  </si>
  <si>
    <t xml:space="preserve">active or voided</t>
  </si>
  <si>
    <t xml:space="preserve">void_reason</t>
  </si>
  <si>
    <t xml:space="preserve">voided_by</t>
  </si>
  <si>
    <t xml:space="preserve">invoice_id</t>
  </si>
  <si>
    <t xml:space="preserve">invoices.id</t>
  </si>
  <si>
    <t xml:space="preserve">unit_price</t>
  </si>
  <si>
    <t xml:space="preserve">Saved at sale time</t>
  </si>
  <si>
    <t xml:space="preserve">line_discount</t>
  </si>
  <si>
    <t xml:space="preserve">tax_amount</t>
  </si>
  <si>
    <t xml:space="preserve">line_total</t>
  </si>
  <si>
    <t xml:space="preserve">return_no</t>
  </si>
  <si>
    <t xml:space="preserve">approved_by</t>
  </si>
  <si>
    <t xml:space="preserve">Owner approval</t>
  </si>
  <si>
    <t xml:space="preserve">refund_method</t>
  </si>
  <si>
    <t xml:space="preserve">cash or khata credit</t>
  </si>
  <si>
    <t xml:space="preserve">sales_return_id</t>
  </si>
  <si>
    <t xml:space="preserve">sales_returns.id</t>
  </si>
  <si>
    <t xml:space="preserve">invoice_item_id</t>
  </si>
  <si>
    <t xml:space="preserve">invoice_items.id</t>
  </si>
  <si>
    <t xml:space="preserve">refund_amount</t>
  </si>
  <si>
    <t xml:space="preserve">condition</t>
  </si>
  <si>
    <t xml:space="preserve">resellable, damaged or expired</t>
  </si>
  <si>
    <t xml:space="preserve">party_type</t>
  </si>
  <si>
    <t xml:space="preserve">customer or supplier</t>
  </si>
  <si>
    <t xml:space="preserve">party_id</t>
  </si>
  <si>
    <t xml:space="preserve">No foreign key. Points to customers or suppliers</t>
  </si>
  <si>
    <t xml:space="preserve">method</t>
  </si>
  <si>
    <t xml:space="preserve">cash, bank, easypaisa or jazzcash</t>
  </si>
  <si>
    <t xml:space="preserve">reference_no</t>
  </si>
  <si>
    <t xml:space="preserve">amount</t>
  </si>
  <si>
    <t xml:space="preserve">direction</t>
  </si>
  <si>
    <t xml:space="preserve">in or out</t>
  </si>
  <si>
    <t xml:space="preserve">paid_at</t>
  </si>
  <si>
    <t xml:space="preserve">entry_type</t>
  </si>
  <si>
    <t xml:space="preserve">opening, invoice, payment, return or adjust</t>
  </si>
  <si>
    <t xml:space="preserve">amount_delta</t>
  </si>
  <si>
    <t xml:space="preserve">Paisa. Plus means the party owes more</t>
  </si>
  <si>
    <t xml:space="preserve">entry_date</t>
  </si>
  <si>
    <t xml:space="preserve">name</t>
  </si>
  <si>
    <t xml:space="preserve">role</t>
  </si>
  <si>
    <t xml:space="preserve">owner or staff</t>
  </si>
  <si>
    <t xml:space="preserve">username</t>
  </si>
  <si>
    <t xml:space="preserve">Proposed</t>
  </si>
  <si>
    <t xml:space="preserve">password_hash</t>
  </si>
  <si>
    <t xml:space="preserve">Proposed. bcrypt</t>
  </si>
  <si>
    <t xml:space="preserve">currency</t>
  </si>
  <si>
    <t xml:space="preserve">shop_id</t>
  </si>
  <si>
    <t xml:space="preserve">shops.id</t>
  </si>
  <si>
    <t xml:space="preserve">code</t>
  </si>
  <si>
    <t xml:space="preserve">branch_id</t>
  </si>
  <si>
    <t xml:space="preserve">branches.id</t>
  </si>
  <si>
    <t xml:space="preserve">device_code</t>
  </si>
  <si>
    <t xml:space="preserve">Proposed. Used in invoice numbers</t>
  </si>
  <si>
    <t xml:space="preserve">key</t>
  </si>
  <si>
    <t xml:space="preserve">Proposed. For example near_expiry_days</t>
  </si>
  <si>
    <t xml:space="preserve">value</t>
  </si>
  <si>
    <t xml:space="preserve">device_id</t>
  </si>
  <si>
    <t xml:space="preserve">devices.id</t>
  </si>
  <si>
    <t xml:space="preserve">sequence_name</t>
  </si>
  <si>
    <t xml:space="preserve">prefix</t>
  </si>
  <si>
    <t xml:space="preserve">last_number</t>
  </si>
  <si>
    <t xml:space="preserve">expense_date</t>
  </si>
  <si>
    <t xml:space="preserve">category</t>
  </si>
  <si>
    <t xml:space="preserve">description</t>
  </si>
  <si>
    <t xml:space="preserve">Proposed. Paisa</t>
  </si>
  <si>
    <t xml:space="preserve">user_id</t>
  </si>
  <si>
    <t xml:space="preserve">action</t>
  </si>
  <si>
    <t xml:space="preserve">table_name</t>
  </si>
  <si>
    <t xml:space="preserve">row_id</t>
  </si>
  <si>
    <t xml:space="preserve">details</t>
  </si>
  <si>
    <t xml:space="preserve">operation</t>
  </si>
  <si>
    <t xml:space="preserve">payload</t>
  </si>
  <si>
    <t xml:space="preserve">synced_at</t>
  </si>
  <si>
    <t xml:space="preserve">Proposed. Empty until synced</t>
  </si>
  <si>
    <t xml:space="preserve">destination</t>
  </si>
  <si>
    <t xml:space="preserve">file_name</t>
  </si>
  <si>
    <t xml:space="preserve">size_bytes</t>
  </si>
  <si>
    <t xml:space="preserve">checksum</t>
  </si>
  <si>
    <t xml:space="preserve">error</t>
  </si>
  <si>
    <t xml:space="preserve">Parent table</t>
  </si>
  <si>
    <t xml:space="preserve">Child table</t>
  </si>
  <si>
    <t xml:space="preserve">Cardinality</t>
  </si>
  <si>
    <t xml:space="preserve">Foreign key column</t>
  </si>
  <si>
    <t xml:space="preserve">Meaning</t>
  </si>
  <si>
    <t xml:space="preserve">1 to many</t>
  </si>
  <si>
    <t xml:space="preserve">products.category_id</t>
  </si>
  <si>
    <t xml:space="preserve">Groups products</t>
  </si>
  <si>
    <t xml:space="preserve">products.brand_id</t>
  </si>
  <si>
    <t xml:space="preserve">Labels products</t>
  </si>
  <si>
    <t xml:space="preserve">batches.product_id</t>
  </si>
  <si>
    <t xml:space="preserve">A product has many batches</t>
  </si>
  <si>
    <t xml:space="preserve">batches.supplier_id</t>
  </si>
  <si>
    <t xml:space="preserve">Supplier of a batch</t>
  </si>
  <si>
    <t xml:space="preserve">purchases.supplier_id</t>
  </si>
  <si>
    <t xml:space="preserve">Purchases from a supplier</t>
  </si>
  <si>
    <t xml:space="preserve">1 to 1 or more</t>
  </si>
  <si>
    <t xml:space="preserve">purchase_items.purchase_id</t>
  </si>
  <si>
    <t xml:space="preserve">Lines on a purchase</t>
  </si>
  <si>
    <t xml:space="preserve">purchase_items.batch_id</t>
  </si>
  <si>
    <t xml:space="preserve">Batch received on a purchase line</t>
  </si>
  <si>
    <t xml:space="preserve">purchase_returns.supplier_id</t>
  </si>
  <si>
    <t xml:space="preserve">Supplier takes stock back</t>
  </si>
  <si>
    <t xml:space="preserve">purchase_returns.purchase_id</t>
  </si>
  <si>
    <t xml:space="preserve">FK exists. Not drawn in the ERD</t>
  </si>
  <si>
    <t xml:space="preserve">purchase_return_items.purchase_return_id</t>
  </si>
  <si>
    <t xml:space="preserve">Lines on a supplier return</t>
  </si>
  <si>
    <t xml:space="preserve">purchase_return_items.batch_id</t>
  </si>
  <si>
    <t xml:space="preserve">Batch returned</t>
  </si>
  <si>
    <t xml:space="preserve">stock_movements.batch_id</t>
  </si>
  <si>
    <t xml:space="preserve">Stock changes per batch</t>
  </si>
  <si>
    <t xml:space="preserve">invoices.customer_id</t>
  </si>
  <si>
    <t xml:space="preserve">Optional. Empty for walk-in sales</t>
  </si>
  <si>
    <t xml:space="preserve">invoices.created_by</t>
  </si>
  <si>
    <t xml:space="preserve">Who made the sale</t>
  </si>
  <si>
    <t xml:space="preserve">invoice_items.invoice_id</t>
  </si>
  <si>
    <t xml:space="preserve">Lines on an invoice</t>
  </si>
  <si>
    <t xml:space="preserve">invoice_items.product_id</t>
  </si>
  <si>
    <t xml:space="preserve">Product sold</t>
  </si>
  <si>
    <t xml:space="preserve">invoice_items.batch_id</t>
  </si>
  <si>
    <t xml:space="preserve">Batch the stock came from</t>
  </si>
  <si>
    <t xml:space="preserve">sales_returns.invoice_id</t>
  </si>
  <si>
    <t xml:space="preserve">Returns made against an invoice</t>
  </si>
  <si>
    <t xml:space="preserve">sales_returns.approved_by</t>
  </si>
  <si>
    <t xml:space="preserve">Who approved the return</t>
  </si>
  <si>
    <t xml:space="preserve">sales_return_items.sales_return_id</t>
  </si>
  <si>
    <t xml:space="preserve">Lines on a sales return</t>
  </si>
  <si>
    <t xml:space="preserve">sales_return_items.invoice_item_id</t>
  </si>
  <si>
    <t xml:space="preserve">Exact invoice line being reversed</t>
  </si>
  <si>
    <t xml:space="preserve">payments.party_id</t>
  </si>
  <si>
    <t xml:space="preserve">No database FK. party_type selects customers or suppliers</t>
  </si>
  <si>
    <t xml:space="preserve">ledger_entries.party_id</t>
  </si>
  <si>
    <t xml:space="preserve">Applies to</t>
  </si>
  <si>
    <t xml:space="preserve">Editable and append-only tables</t>
  </si>
  <si>
    <t xml:space="preserve">Which shop owns the row. Kept for later multi-shop use</t>
  </si>
  <si>
    <t xml:space="preserve">Which branch. Used for branch-aware stock later</t>
  </si>
  <si>
    <t xml:space="preserve">Which PC created the row. Needed for sync and invoice numbers</t>
  </si>
  <si>
    <t xml:space="preserve">UTC ISO text</t>
  </si>
  <si>
    <t xml:space="preserve">updated_at</t>
  </si>
  <si>
    <t xml:space="preserve">Editable tables only</t>
  </si>
  <si>
    <t xml:space="preserve">Sync needs to know what changed since the last run</t>
  </si>
  <si>
    <t xml:space="preserve">deleted_at</t>
  </si>
  <si>
    <t xml:space="preserve">Soft delete flag so deletions can sync</t>
  </si>
  <si>
    <t xml:space="preserve">version</t>
  </si>
  <si>
    <t xml:space="preserve">Increments on each edit. Used for conflict handling in sync</t>
  </si>
  <si>
    <t xml:space="preserve">Transaction records (invoices, purchases, returns) follow the editable set, because their status can change on a void.</t>
  </si>
  <si>
    <t xml:space="preserve">Decision</t>
  </si>
  <si>
    <t xml:space="preserve">Effect on the database</t>
  </si>
  <si>
    <t xml:space="preserve">Loose sales and sealed packs, both ways</t>
  </si>
  <si>
    <t xml:space="preserve">Stock is a whole number in a base unit (ml, g or piece). 1L bottle = 1000 ml. Products get base_unit, pack_size and allow_loose</t>
  </si>
  <si>
    <t xml:space="preserve">Batch and expiry on all products</t>
  </si>
  <si>
    <t xml:space="preserve">Every stock movement has a batch. Batch and expiry are required</t>
  </si>
  <si>
    <t xml:space="preserve">Retail and wholesale prices</t>
  </si>
  <si>
    <t xml:space="preserve">Two price columns per product. Each invoice records which price type was used. Customers can have a default</t>
  </si>
  <si>
    <t xml:space="preserve">Payments reduce the overall balance</t>
  </si>
  <si>
    <t xml:space="preserve">Payments go to the ledger, not to a specific invoice</t>
  </si>
  <si>
    <t xml:space="preserve">Credit limit and due dates</t>
  </si>
  <si>
    <t xml:space="preserve">customers.credit_limit and invoices.due_date</t>
  </si>
  <si>
    <t xml:space="preserve">Returns must link to an invoice</t>
  </si>
  <si>
    <t xml:space="preserve">sales_returns.invoice_id is required</t>
  </si>
  <si>
    <t xml:space="preserve">Supplier returns, case by case</t>
  </si>
  <si>
    <t xml:space="preserve">Small purchase_returns pair of tables, used when needed</t>
  </si>
  <si>
    <t xml:space="preserve">Owner plus staff</t>
  </si>
  <si>
    <t xml:space="preserve">Roles. Approve returns, change prices and view profit and cost are owner-only</t>
  </si>
  <si>
    <t xml:space="preserve">Thermal and A4 print layouts</t>
  </si>
  <si>
    <t xml:space="preserve">Both templates built on the same invoice data</t>
  </si>
  <si>
    <t xml:space="preserve">English and Urdu</t>
  </si>
  <si>
    <t xml:space="preserve">name_en and name_ur on products and customers. Urdu fonts, right-to-left printing, search in both</t>
  </si>
  <si>
    <t xml:space="preserve">20 to 50 invoices a day</t>
  </si>
  <si>
    <t xml:space="preserve">SQLite handles this easily. No tuning needed</t>
  </si>
  <si>
    <t xml:space="preserve">Opening balances entered by hand</t>
  </si>
  <si>
    <t xml:space="preserve">One opening ledger entry per customer, created from the customer form</t>
  </si>
  <si>
    <t xml:space="preserve">Out of stock is blocked</t>
  </si>
  <si>
    <t xml:space="preserve">Stock check inside the sale transaction</t>
  </si>
  <si>
    <t xml:space="preserve">Discounts per item only</t>
  </si>
  <si>
    <t xml:space="preserve">line_discount on invoice items. No invoice-level discount column</t>
  </si>
  <si>
    <t xml:space="preserve">Four payment methods</t>
  </si>
  <si>
    <t xml:space="preserve">Cash, bank, Easypaisa and JazzCash, with an optional reference number</t>
  </si>
  <si>
    <t xml:space="preserve">Batch picked automatically, with manual override</t>
  </si>
  <si>
    <t xml:space="preserve">Earliest expiry first. Cashier can change it</t>
  </si>
  <si>
    <t xml:space="preserve">Sales tax on invoices</t>
  </si>
  <si>
    <t xml:space="preserve">Tax rate stored per product. Tax amount saved on each invoice line</t>
  </si>
  <si>
    <t xml:space="preserve">Near-expiry warning at 30 days</t>
  </si>
  <si>
    <t xml:space="preserve">A setting in the settings table</t>
  </si>
  <si>
    <t xml:space="preserve">Fresh start, no Django import</t>
  </si>
  <si>
    <t xml:space="preserve">No data migration from the old version</t>
  </si>
  <si>
    <t xml:space="preserve">Type the owner's answer in the yellow Answer column. Row 3 is an example only and can be deleted.</t>
  </si>
  <si>
    <t xml:space="preserve">No.</t>
  </si>
  <si>
    <t xml:space="preserve">Question</t>
  </si>
  <si>
    <t xml:space="preserve">Why it matters</t>
  </si>
  <si>
    <t xml:space="preserve">Default used for now</t>
  </si>
  <si>
    <t xml:space="preserve">Owner's answer</t>
  </si>
  <si>
    <t xml:space="preserve">Example</t>
  </si>
  <si>
    <t xml:space="preserve">Does the shop print labels?</t>
  </si>
  <si>
    <t xml:space="preserve">Would add a label template</t>
  </si>
  <si>
    <t xml:space="preserve">None</t>
  </si>
  <si>
    <t xml:space="preserve">Yes, shelf labels for loose items</t>
  </si>
  <si>
    <t xml:space="preserve">Are 500ml and 1L bottles separate products or one product with pack sizes?</t>
  </si>
  <si>
    <t xml:space="preserve">Decides whether prices live on products or on a pack table</t>
  </si>
  <si>
    <t xml:space="preserve">Separate products</t>
  </si>
  <si>
    <t xml:space="preserve">Does he buy from suppliers on credit?</t>
  </si>
  <si>
    <t xml:space="preserve">Decides if the supplier ledger is shown in the UI</t>
  </si>
  <si>
    <t xml:space="preserve">Supplier ledger tables exist but stay hidden</t>
  </si>
  <si>
    <t xml:space="preserve">Does he track shop expenses and want a daily cash closing?</t>
  </si>
  <si>
    <t xml:space="preserve">Decides if expenses and cash closing screens are built</t>
  </si>
  <si>
    <t xml:space="preserve">Expenses table exists but stays hidden</t>
  </si>
  <si>
    <t xml:space="preserve">Which details does he want on each farmer (father's name, CNIC, second phone, guarantor)?</t>
  </si>
  <si>
    <t xml:space="preserve">Adds optional columns to customers</t>
  </si>
  <si>
    <t xml:space="preserve">Only name, phone, village and notes</t>
  </si>
  <si>
    <t xml:space="preserve">Does he use a barcode scanner?</t>
  </si>
  <si>
    <t xml:space="preserve">Barcode search in the POS</t>
  </si>
  <si>
    <t xml:space="preserve">Optional barcode column on products</t>
  </si>
  <si>
    <t xml:space="preserve">Is the tax rate the same for everything or different per product? Do selling prices already include tax?</t>
  </si>
  <si>
    <t xml:space="preserve">Changes how line totals and tax are calculated</t>
  </si>
  <si>
    <t xml:space="preserve">Tax rate per product. Tax-inclusive pricing not decided</t>
  </si>
  <si>
    <t xml:space="preserve">Should staff be allowed to void invoices?</t>
  </si>
  <si>
    <t xml:space="preserve">Voiding reverses a whole sale</t>
  </si>
  <si>
    <t xml:space="preserve">Owner only (recommended)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</si>
</sst>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2" t="s">
        <v>5</v>
      </c>
    </row>
    <row r="6" customFormat="false" ht="15" hidden="false" customHeight="false" outlineLevel="0" collapsed="false">
      <c r="A6" s="4" t="s">
        <v>6</v>
      </c>
      <c r="B6" s="2" t="s">
        <v>7</v>
      </c>
    </row>
    <row r="7" customFormat="false" ht="15" hidden="false" customHeight="false" outlineLevel="0" collapsed="false">
      <c r="A7" s="4" t="s">
        <v>8</v>
      </c>
      <c r="B7" s="2" t="s">
        <v>9</v>
      </c>
    </row>
    <row r="8" customFormat="false" ht="15" hidden="false" customHeight="false" outlineLevel="0" collapsed="false">
      <c r="A8" s="4" t="s">
        <v>10</v>
      </c>
      <c r="B8" s="2" t="s">
        <v>11</v>
      </c>
    </row>
    <row r="9" customFormat="false" ht="15" hidden="false" customHeight="false" outlineLevel="0" collapsed="false">
      <c r="A9" s="4" t="s">
        <v>12</v>
      </c>
      <c r="B9" s="2" t="s">
        <v>13</v>
      </c>
    </row>
    <row r="10" customFormat="false" ht="15" hidden="false" customHeight="false" outlineLevel="0" collapsed="false">
      <c r="A10" s="4" t="s">
        <v>14</v>
      </c>
      <c r="B10" s="2" t="s">
        <v>15</v>
      </c>
    </row>
    <row r="11" customFormat="false" ht="15" hidden="false" customHeight="false" outlineLevel="0" collapsed="false">
      <c r="A11" s="2"/>
      <c r="B11" s="2"/>
    </row>
    <row r="12" customFormat="false" ht="15" hidden="false" customHeight="false" outlineLevel="0" collapsed="false">
      <c r="A12" s="4" t="s">
        <v>16</v>
      </c>
      <c r="B12" s="2"/>
    </row>
    <row r="13" customFormat="false" ht="15" hidden="false" customHeight="false" outlineLevel="0" collapsed="false">
      <c r="A13" s="2" t="s">
        <v>4</v>
      </c>
      <c r="B13" s="2" t="n">
        <f aca="false">COUNTA(Tables!A2:A28)</f>
        <v>27</v>
      </c>
    </row>
    <row r="14" customFormat="false" ht="15" hidden="false" customHeight="false" outlineLevel="0" collapsed="false">
      <c r="A14" s="2" t="s">
        <v>17</v>
      </c>
      <c r="B14" s="2" t="n">
        <f aca="false">COUNTIF(Tables!F2:F28,"In ERD")</f>
        <v>18</v>
      </c>
    </row>
    <row r="15" customFormat="false" ht="15" hidden="false" customHeight="false" outlineLevel="0" collapsed="false">
      <c r="A15" s="2" t="s">
        <v>18</v>
      </c>
      <c r="B15" s="2" t="n">
        <f aca="false">COUNTIF(Tables!F2:F28,"Proposed*")</f>
        <v>9</v>
      </c>
    </row>
    <row r="16" customFormat="false" ht="15" hidden="false" customHeight="false" outlineLevel="0" collapsed="false">
      <c r="A16" s="2" t="s">
        <v>19</v>
      </c>
      <c r="B16" s="2" t="n">
        <f aca="false">COUNTA(Columns!B2:B500)</f>
        <v>182</v>
      </c>
    </row>
    <row r="17" customFormat="false" ht="15" hidden="false" customHeight="false" outlineLevel="0" collapsed="false">
      <c r="A17" s="2" t="s">
        <v>20</v>
      </c>
      <c r="B17" s="2" t="n">
        <f aca="false">COUNTIF(Columns!D2:D500,"FK")</f>
        <v>26</v>
      </c>
    </row>
    <row r="18" customFormat="false" ht="15" hidden="false" customHeight="false" outlineLevel="0" collapsed="false">
      <c r="A18" s="2" t="s">
        <v>8</v>
      </c>
      <c r="B18" s="2" t="n">
        <f aca="false">COUNTA(Relationships!A2:A200)</f>
        <v>23</v>
      </c>
    </row>
    <row r="19" customFormat="false" ht="15" hidden="false" customHeight="false" outlineLevel="0" collapsed="false">
      <c r="A19" s="2"/>
      <c r="B19" s="2"/>
    </row>
    <row r="20" customFormat="false" ht="15" hidden="false" customHeight="false" outlineLevel="0" collapsed="false">
      <c r="A20" s="4" t="s">
        <v>21</v>
      </c>
      <c r="B20" s="2"/>
    </row>
    <row r="21" customFormat="false" ht="15" hidden="false" customHeight="false" outlineLevel="0" collapsed="false">
      <c r="A21" s="2" t="s">
        <v>22</v>
      </c>
      <c r="B21" s="2"/>
    </row>
    <row r="22" customFormat="false" ht="15" hidden="false" customHeight="false" outlineLevel="0" collapsed="false">
      <c r="A22" s="2" t="s">
        <v>23</v>
      </c>
      <c r="B22" s="2"/>
    </row>
    <row r="23" customFormat="false" ht="15" hidden="false" customHeight="false" outlineLevel="0" collapsed="false">
      <c r="A23" s="2" t="s">
        <v>24</v>
      </c>
      <c r="B23" s="2"/>
    </row>
    <row r="24" customFormat="false" ht="15" hidden="false" customHeight="false" outlineLevel="0" collapsed="false">
      <c r="A24" s="2" t="s">
        <v>25</v>
      </c>
      <c r="B24" s="2"/>
    </row>
    <row r="25" customFormat="false" ht="15" hidden="false" customHeight="false" outlineLevel="0" collapsed="false">
      <c r="A25" s="2" t="s">
        <v>26</v>
      </c>
      <c r="B25" s="2"/>
    </row>
    <row r="26" customFormat="false" ht="15" hidden="false" customHeight="false" outlineLevel="0" collapsed="false">
      <c r="A26" s="2" t="s">
        <v>27</v>
      </c>
      <c r="B26" s="2"/>
    </row>
    <row r="27" customFormat="false" ht="15" hidden="false" customHeight="false" outlineLevel="0" collapsed="false">
      <c r="A27" s="2" t="s">
        <v>28</v>
      </c>
      <c r="B27" s="2"/>
    </row>
    <row r="28" customFormat="false" ht="15" hidden="false" customHeight="false" outlineLevel="0" collapsed="false">
      <c r="A28" s="2" t="s">
        <v>29</v>
      </c>
      <c r="B28" s="2"/>
    </row>
    <row r="29" customFormat="false" ht="15" hidden="false" customHeight="false" outlineLevel="0" collapsed="false">
      <c r="A29" s="2"/>
      <c r="B29" s="2"/>
    </row>
    <row r="30" customFormat="false" ht="15" hidden="false" customHeight="false" outlineLevel="0" collapsed="false">
      <c r="A30" s="2"/>
      <c r="B30" s="2"/>
    </row>
    <row r="31" customFormat="false" ht="15" hidden="false" customHeight="false" outlineLevel="0" collapsed="false">
      <c r="A31" s="2"/>
      <c r="B31" s="2"/>
    </row>
    <row r="32" customFormat="false" ht="15" hidden="false" customHeight="false" outlineLevel="0" collapsed="false">
      <c r="A32" s="2"/>
      <c r="B32" s="2"/>
    </row>
    <row r="33" customFormat="false" ht="15" hidden="false" customHeight="false" outlineLevel="0" collapsed="false">
      <c r="A33" s="2"/>
      <c r="B33" s="2"/>
    </row>
    <row r="34" customFormat="false" ht="15" hidden="false" customHeight="false" outlineLevel="0" collapsed="false">
      <c r="A34" s="2"/>
      <c r="B34" s="2"/>
    </row>
    <row r="35" customFormat="false" ht="15" hidden="false" customHeight="false" outlineLevel="0" collapsed="false">
      <c r="A35" s="2"/>
      <c r="B35" s="2"/>
    </row>
    <row r="36" customFormat="false" ht="15" hidden="false" customHeight="false" outlineLevel="0" collapsed="false">
      <c r="A36" s="2"/>
      <c r="B36" s="2"/>
    </row>
    <row r="37" customFormat="false" ht="15" hidden="false" customHeight="false" outlineLevel="0" collapsed="false">
      <c r="A37" s="2"/>
      <c r="B37" s="2"/>
    </row>
    <row r="38" customFormat="false" ht="15" hidden="false" customHeight="false" outlineLevel="0" collapsed="false">
      <c r="A38" s="2"/>
      <c r="B38" s="2"/>
    </row>
    <row r="39" customFormat="false" ht="15" hidden="false" customHeight="false" outlineLevel="0" collapsed="false">
      <c r="A39" s="2"/>
      <c r="B39" s="2"/>
    </row>
    <row r="40" customFormat="false" ht="15" hidden="false" customHeight="false" outlineLevel="0" collapsed="false">
      <c r="A40" s="2"/>
      <c r="B4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5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5" t="s">
        <v>30</v>
      </c>
      <c r="B1" s="5" t="s">
        <v>31</v>
      </c>
      <c r="C1" s="5" t="s">
        <v>32</v>
      </c>
      <c r="D1" s="5" t="s">
        <v>33</v>
      </c>
      <c r="E1" s="5" t="s">
        <v>6</v>
      </c>
      <c r="F1" s="5" t="s">
        <v>34</v>
      </c>
      <c r="G1" s="5" t="s">
        <v>35</v>
      </c>
    </row>
    <row r="2" customFormat="false" ht="15" hidden="false" customHeight="false" outlineLevel="0" collapsed="false">
      <c r="A2" s="6" t="s">
        <v>36</v>
      </c>
      <c r="B2" s="6" t="s">
        <v>37</v>
      </c>
      <c r="C2" s="6" t="s">
        <v>38</v>
      </c>
      <c r="D2" s="6" t="s">
        <v>39</v>
      </c>
      <c r="E2" s="6" t="n">
        <f aca="false">COUNTIF(Columns!$A$2:$A$500,A2)</f>
        <v>3</v>
      </c>
      <c r="F2" s="6" t="s">
        <v>40</v>
      </c>
      <c r="G2" s="6"/>
    </row>
    <row r="3" customFormat="false" ht="15" hidden="false" customHeight="false" outlineLevel="0" collapsed="false">
      <c r="A3" s="6" t="s">
        <v>41</v>
      </c>
      <c r="B3" s="6" t="s">
        <v>37</v>
      </c>
      <c r="C3" s="6" t="s">
        <v>42</v>
      </c>
      <c r="D3" s="6" t="s">
        <v>39</v>
      </c>
      <c r="E3" s="6" t="n">
        <f aca="false">COUNTIF(Columns!$A$2:$A$500,A3)</f>
        <v>3</v>
      </c>
      <c r="F3" s="6" t="s">
        <v>40</v>
      </c>
      <c r="G3" s="6"/>
    </row>
    <row r="4" customFormat="false" ht="15" hidden="false" customHeight="false" outlineLevel="0" collapsed="false">
      <c r="A4" s="6" t="s">
        <v>43</v>
      </c>
      <c r="B4" s="6" t="s">
        <v>37</v>
      </c>
      <c r="C4" s="6" t="s">
        <v>44</v>
      </c>
      <c r="D4" s="6" t="s">
        <v>39</v>
      </c>
      <c r="E4" s="6" t="n">
        <f aca="false">COUNTIF(Columns!$A$2:$A$500,A4)</f>
        <v>15</v>
      </c>
      <c r="F4" s="6" t="s">
        <v>40</v>
      </c>
      <c r="G4" s="6" t="s">
        <v>45</v>
      </c>
    </row>
    <row r="5" customFormat="false" ht="15" hidden="false" customHeight="false" outlineLevel="0" collapsed="false">
      <c r="A5" s="6" t="s">
        <v>46</v>
      </c>
      <c r="B5" s="6" t="s">
        <v>37</v>
      </c>
      <c r="C5" s="6" t="s">
        <v>47</v>
      </c>
      <c r="D5" s="6" t="s">
        <v>39</v>
      </c>
      <c r="E5" s="6" t="n">
        <f aca="false">COUNTIF(Columns!$A$2:$A$500,A5)</f>
        <v>6</v>
      </c>
      <c r="F5" s="6" t="s">
        <v>40</v>
      </c>
      <c r="G5" s="6" t="s">
        <v>48</v>
      </c>
    </row>
    <row r="6" customFormat="false" ht="23.85" hidden="false" customHeight="false" outlineLevel="0" collapsed="false">
      <c r="A6" s="6" t="s">
        <v>49</v>
      </c>
      <c r="B6" s="6" t="s">
        <v>50</v>
      </c>
      <c r="C6" s="6" t="s">
        <v>51</v>
      </c>
      <c r="D6" s="6" t="s">
        <v>52</v>
      </c>
      <c r="E6" s="6" t="n">
        <f aca="false">COUNTIF(Columns!$A$2:$A$500,A6)</f>
        <v>8</v>
      </c>
      <c r="F6" s="6" t="s">
        <v>40</v>
      </c>
      <c r="G6" s="6" t="s">
        <v>53</v>
      </c>
    </row>
    <row r="7" customFormat="false" ht="15" hidden="false" customHeight="false" outlineLevel="0" collapsed="false">
      <c r="A7" s="6" t="s">
        <v>54</v>
      </c>
      <c r="B7" s="6" t="s">
        <v>55</v>
      </c>
      <c r="C7" s="6" t="s">
        <v>56</v>
      </c>
      <c r="D7" s="6" t="s">
        <v>39</v>
      </c>
      <c r="E7" s="6" t="n">
        <f aca="false">COUNTIF(Columns!$A$2:$A$500,A7)</f>
        <v>5</v>
      </c>
      <c r="F7" s="6" t="s">
        <v>40</v>
      </c>
      <c r="G7" s="6"/>
    </row>
    <row r="8" customFormat="false" ht="15" hidden="false" customHeight="false" outlineLevel="0" collapsed="false">
      <c r="A8" s="6" t="s">
        <v>57</v>
      </c>
      <c r="B8" s="6" t="s">
        <v>55</v>
      </c>
      <c r="C8" s="6" t="s">
        <v>58</v>
      </c>
      <c r="D8" s="6" t="s">
        <v>59</v>
      </c>
      <c r="E8" s="6" t="n">
        <f aca="false">COUNTIF(Columns!$A$2:$A$500,A8)</f>
        <v>7</v>
      </c>
      <c r="F8" s="6" t="s">
        <v>40</v>
      </c>
      <c r="G8" s="6"/>
    </row>
    <row r="9" customFormat="false" ht="15" hidden="false" customHeight="false" outlineLevel="0" collapsed="false">
      <c r="A9" s="6" t="s">
        <v>60</v>
      </c>
      <c r="B9" s="6" t="s">
        <v>55</v>
      </c>
      <c r="C9" s="6" t="s">
        <v>61</v>
      </c>
      <c r="D9" s="6" t="s">
        <v>59</v>
      </c>
      <c r="E9" s="6" t="n">
        <f aca="false">COUNTIF(Columns!$A$2:$A$500,A9)</f>
        <v>5</v>
      </c>
      <c r="F9" s="6" t="s">
        <v>40</v>
      </c>
      <c r="G9" s="6"/>
    </row>
    <row r="10" customFormat="false" ht="15" hidden="false" customHeight="false" outlineLevel="0" collapsed="false">
      <c r="A10" s="6" t="s">
        <v>62</v>
      </c>
      <c r="B10" s="6" t="s">
        <v>55</v>
      </c>
      <c r="C10" s="6" t="s">
        <v>63</v>
      </c>
      <c r="D10" s="6" t="s">
        <v>59</v>
      </c>
      <c r="E10" s="6" t="n">
        <f aca="false">COUNTIF(Columns!$A$2:$A$500,A10)</f>
        <v>6</v>
      </c>
      <c r="F10" s="6" t="s">
        <v>40</v>
      </c>
      <c r="G10" s="6" t="s">
        <v>64</v>
      </c>
    </row>
    <row r="11" customFormat="false" ht="15" hidden="false" customHeight="false" outlineLevel="0" collapsed="false">
      <c r="A11" s="6" t="s">
        <v>65</v>
      </c>
      <c r="B11" s="6" t="s">
        <v>55</v>
      </c>
      <c r="C11" s="6" t="s">
        <v>66</v>
      </c>
      <c r="D11" s="6" t="s">
        <v>59</v>
      </c>
      <c r="E11" s="6" t="n">
        <f aca="false">COUNTIF(Columns!$A$2:$A$500,A11)</f>
        <v>5</v>
      </c>
      <c r="F11" s="6" t="s">
        <v>40</v>
      </c>
      <c r="G11" s="6"/>
    </row>
    <row r="12" customFormat="false" ht="15" hidden="false" customHeight="false" outlineLevel="0" collapsed="false">
      <c r="A12" s="6" t="s">
        <v>67</v>
      </c>
      <c r="B12" s="6" t="s">
        <v>68</v>
      </c>
      <c r="C12" s="6" t="s">
        <v>69</v>
      </c>
      <c r="D12" s="6" t="s">
        <v>39</v>
      </c>
      <c r="E12" s="6" t="n">
        <f aca="false">COUNTIF(Columns!$A$2:$A$500,A12)</f>
        <v>8</v>
      </c>
      <c r="F12" s="6" t="s">
        <v>40</v>
      </c>
      <c r="G12" s="6" t="s">
        <v>70</v>
      </c>
    </row>
    <row r="13" customFormat="false" ht="15" hidden="false" customHeight="false" outlineLevel="0" collapsed="false">
      <c r="A13" s="6" t="s">
        <v>71</v>
      </c>
      <c r="B13" s="6" t="s">
        <v>72</v>
      </c>
      <c r="C13" s="6" t="s">
        <v>73</v>
      </c>
      <c r="D13" s="6" t="s">
        <v>59</v>
      </c>
      <c r="E13" s="6" t="n">
        <f aca="false">COUNTIF(Columns!$A$2:$A$500,A13)</f>
        <v>14</v>
      </c>
      <c r="F13" s="6" t="s">
        <v>40</v>
      </c>
      <c r="G13" s="6" t="s">
        <v>74</v>
      </c>
    </row>
    <row r="14" customFormat="false" ht="15" hidden="false" customHeight="false" outlineLevel="0" collapsed="false">
      <c r="A14" s="6" t="s">
        <v>75</v>
      </c>
      <c r="B14" s="6" t="s">
        <v>72</v>
      </c>
      <c r="C14" s="6" t="s">
        <v>76</v>
      </c>
      <c r="D14" s="6" t="s">
        <v>59</v>
      </c>
      <c r="E14" s="6" t="n">
        <f aca="false">COUNTIF(Columns!$A$2:$A$500,A14)</f>
        <v>11</v>
      </c>
      <c r="F14" s="6" t="s">
        <v>40</v>
      </c>
      <c r="G14" s="6" t="s">
        <v>77</v>
      </c>
    </row>
    <row r="15" customFormat="false" ht="15" hidden="false" customHeight="false" outlineLevel="0" collapsed="false">
      <c r="A15" s="6" t="s">
        <v>78</v>
      </c>
      <c r="B15" s="6" t="s">
        <v>72</v>
      </c>
      <c r="C15" s="6" t="s">
        <v>79</v>
      </c>
      <c r="D15" s="6" t="s">
        <v>59</v>
      </c>
      <c r="E15" s="6" t="n">
        <f aca="false">COUNTIF(Columns!$A$2:$A$500,A15)</f>
        <v>8</v>
      </c>
      <c r="F15" s="6" t="s">
        <v>40</v>
      </c>
      <c r="G15" s="6" t="s">
        <v>80</v>
      </c>
    </row>
    <row r="16" customFormat="false" ht="15" hidden="false" customHeight="false" outlineLevel="0" collapsed="false">
      <c r="A16" s="6" t="s">
        <v>81</v>
      </c>
      <c r="B16" s="6" t="s">
        <v>72</v>
      </c>
      <c r="C16" s="6" t="s">
        <v>82</v>
      </c>
      <c r="D16" s="6" t="s">
        <v>59</v>
      </c>
      <c r="E16" s="6" t="n">
        <f aca="false">COUNTIF(Columns!$A$2:$A$500,A16)</f>
        <v>6</v>
      </c>
      <c r="F16" s="6" t="s">
        <v>40</v>
      </c>
      <c r="G16" s="6" t="s">
        <v>83</v>
      </c>
    </row>
    <row r="17" customFormat="false" ht="15" hidden="false" customHeight="false" outlineLevel="0" collapsed="false">
      <c r="A17" s="6" t="s">
        <v>84</v>
      </c>
      <c r="B17" s="6" t="s">
        <v>85</v>
      </c>
      <c r="C17" s="6" t="s">
        <v>86</v>
      </c>
      <c r="D17" s="6" t="s">
        <v>52</v>
      </c>
      <c r="E17" s="6" t="n">
        <f aca="false">COUNTIF(Columns!$A$2:$A$500,A17)</f>
        <v>8</v>
      </c>
      <c r="F17" s="6" t="s">
        <v>40</v>
      </c>
      <c r="G17" s="6" t="s">
        <v>87</v>
      </c>
    </row>
    <row r="18" customFormat="false" ht="15" hidden="false" customHeight="false" outlineLevel="0" collapsed="false">
      <c r="A18" s="6" t="s">
        <v>88</v>
      </c>
      <c r="B18" s="6" t="s">
        <v>85</v>
      </c>
      <c r="C18" s="6" t="s">
        <v>89</v>
      </c>
      <c r="D18" s="6" t="s">
        <v>52</v>
      </c>
      <c r="E18" s="6" t="n">
        <f aca="false">COUNTIF(Columns!$A$2:$A$500,A18)</f>
        <v>8</v>
      </c>
      <c r="F18" s="6" t="s">
        <v>40</v>
      </c>
      <c r="G18" s="6" t="s">
        <v>90</v>
      </c>
    </row>
    <row r="19" customFormat="false" ht="15" hidden="false" customHeight="false" outlineLevel="0" collapsed="false">
      <c r="A19" s="6" t="s">
        <v>91</v>
      </c>
      <c r="B19" s="6" t="s">
        <v>68</v>
      </c>
      <c r="C19" s="6" t="s">
        <v>92</v>
      </c>
      <c r="D19" s="6" t="s">
        <v>39</v>
      </c>
      <c r="E19" s="6" t="n">
        <f aca="false">COUNTIF(Columns!$A$2:$A$500,A19)</f>
        <v>6</v>
      </c>
      <c r="F19" s="6" t="s">
        <v>40</v>
      </c>
      <c r="G19" s="6" t="s">
        <v>93</v>
      </c>
    </row>
    <row r="20" customFormat="false" ht="15" hidden="false" customHeight="false" outlineLevel="0" collapsed="false">
      <c r="A20" s="6" t="s">
        <v>94</v>
      </c>
      <c r="B20" s="6" t="s">
        <v>95</v>
      </c>
      <c r="C20" s="6" t="s">
        <v>96</v>
      </c>
      <c r="D20" s="6" t="s">
        <v>39</v>
      </c>
      <c r="E20" s="6" t="n">
        <f aca="false">COUNTIF(Columns!$A$2:$A$500,A20)</f>
        <v>5</v>
      </c>
      <c r="F20" s="6" t="s">
        <v>97</v>
      </c>
      <c r="G20" s="6" t="s">
        <v>98</v>
      </c>
    </row>
    <row r="21" customFormat="false" ht="15" hidden="false" customHeight="false" outlineLevel="0" collapsed="false">
      <c r="A21" s="6" t="s">
        <v>99</v>
      </c>
      <c r="B21" s="6" t="s">
        <v>95</v>
      </c>
      <c r="C21" s="6" t="s">
        <v>100</v>
      </c>
      <c r="D21" s="6" t="s">
        <v>39</v>
      </c>
      <c r="E21" s="6" t="n">
        <f aca="false">COUNTIF(Columns!$A$2:$A$500,A21)</f>
        <v>4</v>
      </c>
      <c r="F21" s="6" t="s">
        <v>97</v>
      </c>
      <c r="G21" s="6" t="s">
        <v>101</v>
      </c>
    </row>
    <row r="22" customFormat="false" ht="15" hidden="false" customHeight="false" outlineLevel="0" collapsed="false">
      <c r="A22" s="6" t="s">
        <v>102</v>
      </c>
      <c r="B22" s="6" t="s">
        <v>95</v>
      </c>
      <c r="C22" s="6" t="s">
        <v>103</v>
      </c>
      <c r="D22" s="6" t="s">
        <v>39</v>
      </c>
      <c r="E22" s="6" t="n">
        <f aca="false">COUNTIF(Columns!$A$2:$A$500,A22)</f>
        <v>4</v>
      </c>
      <c r="F22" s="6" t="s">
        <v>97</v>
      </c>
      <c r="G22" s="6" t="s">
        <v>104</v>
      </c>
    </row>
    <row r="23" customFormat="false" ht="15" hidden="false" customHeight="false" outlineLevel="0" collapsed="false">
      <c r="A23" s="6" t="s">
        <v>105</v>
      </c>
      <c r="B23" s="6" t="s">
        <v>95</v>
      </c>
      <c r="C23" s="6" t="s">
        <v>106</v>
      </c>
      <c r="D23" s="6" t="s">
        <v>39</v>
      </c>
      <c r="E23" s="6" t="n">
        <f aca="false">COUNTIF(Columns!$A$2:$A$500,A23)</f>
        <v>3</v>
      </c>
      <c r="F23" s="6" t="s">
        <v>97</v>
      </c>
      <c r="G23" s="6"/>
    </row>
    <row r="24" customFormat="false" ht="15" hidden="false" customHeight="false" outlineLevel="0" collapsed="false">
      <c r="A24" s="6" t="s">
        <v>107</v>
      </c>
      <c r="B24" s="6" t="s">
        <v>95</v>
      </c>
      <c r="C24" s="6" t="s">
        <v>108</v>
      </c>
      <c r="D24" s="6" t="s">
        <v>39</v>
      </c>
      <c r="E24" s="6" t="n">
        <f aca="false">COUNTIF(Columns!$A$2:$A$500,A24)</f>
        <v>5</v>
      </c>
      <c r="F24" s="6" t="s">
        <v>97</v>
      </c>
      <c r="G24" s="6" t="s">
        <v>109</v>
      </c>
    </row>
    <row r="25" customFormat="false" ht="15" hidden="false" customHeight="false" outlineLevel="0" collapsed="false">
      <c r="A25" s="6" t="s">
        <v>110</v>
      </c>
      <c r="B25" s="6" t="s">
        <v>95</v>
      </c>
      <c r="C25" s="6" t="s">
        <v>111</v>
      </c>
      <c r="D25" s="6" t="s">
        <v>39</v>
      </c>
      <c r="E25" s="6" t="n">
        <f aca="false">COUNTIF(Columns!$A$2:$A$500,A25)</f>
        <v>7</v>
      </c>
      <c r="F25" s="6" t="s">
        <v>97</v>
      </c>
      <c r="G25" s="6" t="s">
        <v>112</v>
      </c>
    </row>
    <row r="26" customFormat="false" ht="15" hidden="false" customHeight="false" outlineLevel="0" collapsed="false">
      <c r="A26" s="6" t="s">
        <v>113</v>
      </c>
      <c r="B26" s="6" t="s">
        <v>95</v>
      </c>
      <c r="C26" s="6" t="s">
        <v>114</v>
      </c>
      <c r="D26" s="6" t="s">
        <v>52</v>
      </c>
      <c r="E26" s="6" t="n">
        <f aca="false">COUNTIF(Columns!$A$2:$A$500,A26)</f>
        <v>7</v>
      </c>
      <c r="F26" s="6" t="s">
        <v>97</v>
      </c>
      <c r="G26" s="6"/>
    </row>
    <row r="27" customFormat="false" ht="15" hidden="false" customHeight="false" outlineLevel="0" collapsed="false">
      <c r="A27" s="6" t="s">
        <v>115</v>
      </c>
      <c r="B27" s="6" t="s">
        <v>95</v>
      </c>
      <c r="C27" s="6" t="s">
        <v>116</v>
      </c>
      <c r="D27" s="6" t="s">
        <v>52</v>
      </c>
      <c r="E27" s="6" t="n">
        <f aca="false">COUNTIF(Columns!$A$2:$A$500,A27)</f>
        <v>7</v>
      </c>
      <c r="F27" s="6" t="s">
        <v>97</v>
      </c>
      <c r="G27" s="6"/>
    </row>
    <row r="28" customFormat="false" ht="15" hidden="false" customHeight="false" outlineLevel="0" collapsed="false">
      <c r="A28" s="6" t="s">
        <v>117</v>
      </c>
      <c r="B28" s="6" t="s">
        <v>95</v>
      </c>
      <c r="C28" s="6" t="s">
        <v>118</v>
      </c>
      <c r="D28" s="6" t="s">
        <v>52</v>
      </c>
      <c r="E28" s="6" t="n">
        <f aca="false">COUNTIF(Columns!$A$2:$A$500,A28)</f>
        <v>8</v>
      </c>
      <c r="F28" s="6" t="s">
        <v>97</v>
      </c>
      <c r="G28" s="6"/>
    </row>
  </sheetData>
  <autoFilter ref="A1:G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55"/>
  </cols>
  <sheetData>
    <row r="1" customFormat="false" ht="15" hidden="false" customHeight="false" outlineLevel="0" collapsed="false">
      <c r="A1" s="5" t="s">
        <v>30</v>
      </c>
      <c r="B1" s="5" t="s">
        <v>119</v>
      </c>
      <c r="C1" s="5" t="s">
        <v>33</v>
      </c>
      <c r="D1" s="5" t="s">
        <v>120</v>
      </c>
      <c r="E1" s="5" t="s">
        <v>121</v>
      </c>
      <c r="F1" s="5" t="s">
        <v>35</v>
      </c>
    </row>
    <row r="2" customFormat="false" ht="15" hidden="false" customHeight="false" outlineLevel="0" collapsed="false">
      <c r="A2" s="6" t="s">
        <v>36</v>
      </c>
      <c r="B2" s="6" t="s">
        <v>122</v>
      </c>
      <c r="C2" s="6" t="s">
        <v>123</v>
      </c>
      <c r="D2" s="6" t="s">
        <v>124</v>
      </c>
      <c r="E2" s="6"/>
      <c r="F2" s="6"/>
    </row>
    <row r="3" customFormat="false" ht="15" hidden="false" customHeight="false" outlineLevel="0" collapsed="false">
      <c r="A3" s="6" t="s">
        <v>36</v>
      </c>
      <c r="B3" s="6" t="s">
        <v>125</v>
      </c>
      <c r="C3" s="6" t="s">
        <v>126</v>
      </c>
      <c r="D3" s="6"/>
      <c r="E3" s="6"/>
      <c r="F3" s="6"/>
    </row>
    <row r="4" customFormat="false" ht="15" hidden="false" customHeight="false" outlineLevel="0" collapsed="false">
      <c r="A4" s="6" t="s">
        <v>36</v>
      </c>
      <c r="B4" s="6" t="s">
        <v>127</v>
      </c>
      <c r="C4" s="6" t="s">
        <v>126</v>
      </c>
      <c r="D4" s="6"/>
      <c r="E4" s="6"/>
      <c r="F4" s="6"/>
    </row>
    <row r="5" customFormat="false" ht="15" hidden="false" customHeight="false" outlineLevel="0" collapsed="false">
      <c r="A5" s="6" t="s">
        <v>41</v>
      </c>
      <c r="B5" s="6" t="s">
        <v>122</v>
      </c>
      <c r="C5" s="6" t="s">
        <v>123</v>
      </c>
      <c r="D5" s="6" t="s">
        <v>124</v>
      </c>
      <c r="E5" s="6"/>
      <c r="F5" s="6"/>
    </row>
    <row r="6" customFormat="false" ht="15" hidden="false" customHeight="false" outlineLevel="0" collapsed="false">
      <c r="A6" s="6" t="s">
        <v>41</v>
      </c>
      <c r="B6" s="6" t="s">
        <v>125</v>
      </c>
      <c r="C6" s="6" t="s">
        <v>126</v>
      </c>
      <c r="D6" s="6"/>
      <c r="E6" s="6"/>
      <c r="F6" s="6"/>
    </row>
    <row r="7" customFormat="false" ht="15" hidden="false" customHeight="false" outlineLevel="0" collapsed="false">
      <c r="A7" s="6" t="s">
        <v>41</v>
      </c>
      <c r="B7" s="6" t="s">
        <v>127</v>
      </c>
      <c r="C7" s="6" t="s">
        <v>126</v>
      </c>
      <c r="D7" s="6"/>
      <c r="E7" s="6"/>
      <c r="F7" s="6"/>
    </row>
    <row r="8" customFormat="false" ht="15" hidden="false" customHeight="false" outlineLevel="0" collapsed="false">
      <c r="A8" s="6" t="s">
        <v>43</v>
      </c>
      <c r="B8" s="6" t="s">
        <v>122</v>
      </c>
      <c r="C8" s="6" t="s">
        <v>123</v>
      </c>
      <c r="D8" s="6" t="s">
        <v>124</v>
      </c>
      <c r="E8" s="6"/>
      <c r="F8" s="6"/>
    </row>
    <row r="9" customFormat="false" ht="15" hidden="false" customHeight="false" outlineLevel="0" collapsed="false">
      <c r="A9" s="6" t="s">
        <v>43</v>
      </c>
      <c r="B9" s="6" t="s">
        <v>128</v>
      </c>
      <c r="C9" s="6" t="s">
        <v>123</v>
      </c>
      <c r="D9" s="6" t="s">
        <v>129</v>
      </c>
      <c r="E9" s="6" t="s">
        <v>130</v>
      </c>
      <c r="F9" s="6"/>
    </row>
    <row r="10" customFormat="false" ht="15" hidden="false" customHeight="false" outlineLevel="0" collapsed="false">
      <c r="A10" s="6" t="s">
        <v>43</v>
      </c>
      <c r="B10" s="6" t="s">
        <v>131</v>
      </c>
      <c r="C10" s="6" t="s">
        <v>123</v>
      </c>
      <c r="D10" s="6" t="s">
        <v>129</v>
      </c>
      <c r="E10" s="6" t="s">
        <v>132</v>
      </c>
      <c r="F10" s="6"/>
    </row>
    <row r="11" customFormat="false" ht="15" hidden="false" customHeight="false" outlineLevel="0" collapsed="false">
      <c r="A11" s="6" t="s">
        <v>43</v>
      </c>
      <c r="B11" s="6" t="s">
        <v>125</v>
      </c>
      <c r="C11" s="6" t="s">
        <v>126</v>
      </c>
      <c r="D11" s="6"/>
      <c r="E11" s="6"/>
      <c r="F11" s="6"/>
    </row>
    <row r="12" customFormat="false" ht="15" hidden="false" customHeight="false" outlineLevel="0" collapsed="false">
      <c r="A12" s="6" t="s">
        <v>43</v>
      </c>
      <c r="B12" s="6" t="s">
        <v>127</v>
      </c>
      <c r="C12" s="6" t="s">
        <v>126</v>
      </c>
      <c r="D12" s="6"/>
      <c r="E12" s="6"/>
      <c r="F12" s="6"/>
    </row>
    <row r="13" customFormat="false" ht="15" hidden="false" customHeight="false" outlineLevel="0" collapsed="false">
      <c r="A13" s="6" t="s">
        <v>43</v>
      </c>
      <c r="B13" s="6" t="s">
        <v>133</v>
      </c>
      <c r="C13" s="6" t="s">
        <v>126</v>
      </c>
      <c r="D13" s="6"/>
      <c r="E13" s="6"/>
      <c r="F13" s="6"/>
    </row>
    <row r="14" customFormat="false" ht="15" hidden="false" customHeight="false" outlineLevel="0" collapsed="false">
      <c r="A14" s="6" t="s">
        <v>43</v>
      </c>
      <c r="B14" s="6" t="s">
        <v>134</v>
      </c>
      <c r="C14" s="6" t="s">
        <v>126</v>
      </c>
      <c r="D14" s="6"/>
      <c r="E14" s="6"/>
      <c r="F14" s="6" t="s">
        <v>135</v>
      </c>
    </row>
    <row r="15" customFormat="false" ht="15" hidden="false" customHeight="false" outlineLevel="0" collapsed="false">
      <c r="A15" s="6" t="s">
        <v>43</v>
      </c>
      <c r="B15" s="6" t="s">
        <v>136</v>
      </c>
      <c r="C15" s="6" t="s">
        <v>126</v>
      </c>
      <c r="D15" s="6"/>
      <c r="E15" s="6"/>
      <c r="F15" s="6" t="s">
        <v>137</v>
      </c>
    </row>
    <row r="16" customFormat="false" ht="15" hidden="false" customHeight="false" outlineLevel="0" collapsed="false">
      <c r="A16" s="6" t="s">
        <v>43</v>
      </c>
      <c r="B16" s="6" t="s">
        <v>138</v>
      </c>
      <c r="C16" s="6" t="s">
        <v>139</v>
      </c>
      <c r="D16" s="6"/>
      <c r="E16" s="6"/>
      <c r="F16" s="6" t="s">
        <v>140</v>
      </c>
    </row>
    <row r="17" customFormat="false" ht="15" hidden="false" customHeight="false" outlineLevel="0" collapsed="false">
      <c r="A17" s="6" t="s">
        <v>43</v>
      </c>
      <c r="B17" s="6" t="s">
        <v>141</v>
      </c>
      <c r="C17" s="6" t="s">
        <v>142</v>
      </c>
      <c r="D17" s="6"/>
      <c r="E17" s="6"/>
      <c r="F17" s="6"/>
    </row>
    <row r="18" customFormat="false" ht="15" hidden="false" customHeight="false" outlineLevel="0" collapsed="false">
      <c r="A18" s="6" t="s">
        <v>43</v>
      </c>
      <c r="B18" s="6" t="s">
        <v>143</v>
      </c>
      <c r="C18" s="6" t="s">
        <v>139</v>
      </c>
      <c r="D18" s="6"/>
      <c r="E18" s="6"/>
      <c r="F18" s="6" t="s">
        <v>144</v>
      </c>
    </row>
    <row r="19" customFormat="false" ht="15" hidden="false" customHeight="false" outlineLevel="0" collapsed="false">
      <c r="A19" s="6" t="s">
        <v>43</v>
      </c>
      <c r="B19" s="6" t="s">
        <v>145</v>
      </c>
      <c r="C19" s="6" t="s">
        <v>139</v>
      </c>
      <c r="D19" s="6"/>
      <c r="E19" s="6"/>
      <c r="F19" s="6" t="s">
        <v>144</v>
      </c>
    </row>
    <row r="20" customFormat="false" ht="15" hidden="false" customHeight="false" outlineLevel="0" collapsed="false">
      <c r="A20" s="6" t="s">
        <v>43</v>
      </c>
      <c r="B20" s="6" t="s">
        <v>146</v>
      </c>
      <c r="C20" s="6" t="s">
        <v>139</v>
      </c>
      <c r="D20" s="6"/>
      <c r="E20" s="6"/>
      <c r="F20" s="6" t="s">
        <v>147</v>
      </c>
    </row>
    <row r="21" customFormat="false" ht="15" hidden="false" customHeight="false" outlineLevel="0" collapsed="false">
      <c r="A21" s="6" t="s">
        <v>43</v>
      </c>
      <c r="B21" s="6" t="s">
        <v>148</v>
      </c>
      <c r="C21" s="6" t="s">
        <v>139</v>
      </c>
      <c r="D21" s="6"/>
      <c r="E21" s="6"/>
      <c r="F21" s="6" t="s">
        <v>149</v>
      </c>
    </row>
    <row r="22" customFormat="false" ht="15" hidden="false" customHeight="false" outlineLevel="0" collapsed="false">
      <c r="A22" s="6" t="s">
        <v>43</v>
      </c>
      <c r="B22" s="6" t="s">
        <v>150</v>
      </c>
      <c r="C22" s="6" t="s">
        <v>142</v>
      </c>
      <c r="D22" s="6"/>
      <c r="E22" s="6"/>
      <c r="F22" s="6"/>
    </row>
    <row r="23" customFormat="false" ht="15" hidden="false" customHeight="false" outlineLevel="0" collapsed="false">
      <c r="A23" s="6" t="s">
        <v>46</v>
      </c>
      <c r="B23" s="6" t="s">
        <v>122</v>
      </c>
      <c r="C23" s="6" t="s">
        <v>123</v>
      </c>
      <c r="D23" s="6" t="s">
        <v>124</v>
      </c>
      <c r="E23" s="6"/>
      <c r="F23" s="6"/>
    </row>
    <row r="24" customFormat="false" ht="15" hidden="false" customHeight="false" outlineLevel="0" collapsed="false">
      <c r="A24" s="6" t="s">
        <v>46</v>
      </c>
      <c r="B24" s="6" t="s">
        <v>151</v>
      </c>
      <c r="C24" s="6" t="s">
        <v>123</v>
      </c>
      <c r="D24" s="6" t="s">
        <v>129</v>
      </c>
      <c r="E24" s="6" t="s">
        <v>152</v>
      </c>
      <c r="F24" s="6"/>
    </row>
    <row r="25" customFormat="false" ht="15" hidden="false" customHeight="false" outlineLevel="0" collapsed="false">
      <c r="A25" s="6" t="s">
        <v>46</v>
      </c>
      <c r="B25" s="6" t="s">
        <v>153</v>
      </c>
      <c r="C25" s="6" t="s">
        <v>123</v>
      </c>
      <c r="D25" s="6" t="s">
        <v>129</v>
      </c>
      <c r="E25" s="6" t="s">
        <v>154</v>
      </c>
      <c r="F25" s="6"/>
    </row>
    <row r="26" customFormat="false" ht="15" hidden="false" customHeight="false" outlineLevel="0" collapsed="false">
      <c r="A26" s="6" t="s">
        <v>46</v>
      </c>
      <c r="B26" s="6" t="s">
        <v>155</v>
      </c>
      <c r="C26" s="6" t="s">
        <v>126</v>
      </c>
      <c r="D26" s="6"/>
      <c r="E26" s="6"/>
      <c r="F26" s="6"/>
    </row>
    <row r="27" customFormat="false" ht="15" hidden="false" customHeight="false" outlineLevel="0" collapsed="false">
      <c r="A27" s="6" t="s">
        <v>46</v>
      </c>
      <c r="B27" s="6" t="s">
        <v>156</v>
      </c>
      <c r="C27" s="6" t="s">
        <v>157</v>
      </c>
      <c r="D27" s="6"/>
      <c r="E27" s="6"/>
      <c r="F27" s="6"/>
    </row>
    <row r="28" customFormat="false" ht="15" hidden="false" customHeight="false" outlineLevel="0" collapsed="false">
      <c r="A28" s="6" t="s">
        <v>46</v>
      </c>
      <c r="B28" s="6" t="s">
        <v>158</v>
      </c>
      <c r="C28" s="6" t="s">
        <v>139</v>
      </c>
      <c r="D28" s="6"/>
      <c r="E28" s="6"/>
      <c r="F28" s="6" t="s">
        <v>144</v>
      </c>
    </row>
    <row r="29" customFormat="false" ht="15" hidden="false" customHeight="false" outlineLevel="0" collapsed="false">
      <c r="A29" s="6" t="s">
        <v>49</v>
      </c>
      <c r="B29" s="6" t="s">
        <v>122</v>
      </c>
      <c r="C29" s="6" t="s">
        <v>123</v>
      </c>
      <c r="D29" s="6" t="s">
        <v>124</v>
      </c>
      <c r="E29" s="6"/>
      <c r="F29" s="6"/>
    </row>
    <row r="30" customFormat="false" ht="15" hidden="false" customHeight="false" outlineLevel="0" collapsed="false">
      <c r="A30" s="6" t="s">
        <v>49</v>
      </c>
      <c r="B30" s="6" t="s">
        <v>159</v>
      </c>
      <c r="C30" s="6" t="s">
        <v>123</v>
      </c>
      <c r="D30" s="6" t="s">
        <v>129</v>
      </c>
      <c r="E30" s="6" t="s">
        <v>160</v>
      </c>
      <c r="F30" s="6"/>
    </row>
    <row r="31" customFormat="false" ht="15" hidden="false" customHeight="false" outlineLevel="0" collapsed="false">
      <c r="A31" s="6" t="s">
        <v>49</v>
      </c>
      <c r="B31" s="6" t="s">
        <v>161</v>
      </c>
      <c r="C31" s="6" t="s">
        <v>139</v>
      </c>
      <c r="D31" s="6"/>
      <c r="E31" s="6"/>
      <c r="F31" s="6" t="s">
        <v>162</v>
      </c>
    </row>
    <row r="32" customFormat="false" ht="15" hidden="false" customHeight="false" outlineLevel="0" collapsed="false">
      <c r="A32" s="6" t="s">
        <v>49</v>
      </c>
      <c r="B32" s="6" t="s">
        <v>163</v>
      </c>
      <c r="C32" s="6" t="s">
        <v>126</v>
      </c>
      <c r="D32" s="6"/>
      <c r="E32" s="6"/>
      <c r="F32" s="6" t="s">
        <v>164</v>
      </c>
    </row>
    <row r="33" customFormat="false" ht="15" hidden="false" customHeight="false" outlineLevel="0" collapsed="false">
      <c r="A33" s="6" t="s">
        <v>49</v>
      </c>
      <c r="B33" s="6" t="s">
        <v>165</v>
      </c>
      <c r="C33" s="6" t="s">
        <v>126</v>
      </c>
      <c r="D33" s="6"/>
      <c r="E33" s="6"/>
      <c r="F33" s="6"/>
    </row>
    <row r="34" customFormat="false" ht="15" hidden="false" customHeight="false" outlineLevel="0" collapsed="false">
      <c r="A34" s="6" t="s">
        <v>49</v>
      </c>
      <c r="B34" s="6" t="s">
        <v>166</v>
      </c>
      <c r="C34" s="6" t="s">
        <v>123</v>
      </c>
      <c r="D34" s="6"/>
      <c r="E34" s="6"/>
      <c r="F34" s="6"/>
    </row>
    <row r="35" customFormat="false" ht="15" hidden="false" customHeight="false" outlineLevel="0" collapsed="false">
      <c r="A35" s="6" t="s">
        <v>49</v>
      </c>
      <c r="B35" s="6" t="s">
        <v>167</v>
      </c>
      <c r="C35" s="6" t="s">
        <v>123</v>
      </c>
      <c r="D35" s="6"/>
      <c r="E35" s="6"/>
      <c r="F35" s="6" t="s">
        <v>168</v>
      </c>
    </row>
    <row r="36" customFormat="false" ht="15" hidden="false" customHeight="false" outlineLevel="0" collapsed="false">
      <c r="A36" s="6" t="s">
        <v>49</v>
      </c>
      <c r="B36" s="6" t="s">
        <v>169</v>
      </c>
      <c r="C36" s="6" t="s">
        <v>170</v>
      </c>
      <c r="D36" s="6"/>
      <c r="E36" s="6"/>
      <c r="F36" s="6"/>
    </row>
    <row r="37" customFormat="false" ht="15" hidden="false" customHeight="false" outlineLevel="0" collapsed="false">
      <c r="A37" s="6" t="s">
        <v>54</v>
      </c>
      <c r="B37" s="6" t="s">
        <v>122</v>
      </c>
      <c r="C37" s="6" t="s">
        <v>123</v>
      </c>
      <c r="D37" s="6" t="s">
        <v>124</v>
      </c>
      <c r="E37" s="6"/>
      <c r="F37" s="6"/>
    </row>
    <row r="38" customFormat="false" ht="15" hidden="false" customHeight="false" outlineLevel="0" collapsed="false">
      <c r="A38" s="6" t="s">
        <v>54</v>
      </c>
      <c r="B38" s="6" t="s">
        <v>125</v>
      </c>
      <c r="C38" s="6" t="s">
        <v>126</v>
      </c>
      <c r="D38" s="6"/>
      <c r="E38" s="6"/>
      <c r="F38" s="6"/>
    </row>
    <row r="39" customFormat="false" ht="15" hidden="false" customHeight="false" outlineLevel="0" collapsed="false">
      <c r="A39" s="6" t="s">
        <v>54</v>
      </c>
      <c r="B39" s="6" t="s">
        <v>127</v>
      </c>
      <c r="C39" s="6" t="s">
        <v>126</v>
      </c>
      <c r="D39" s="6"/>
      <c r="E39" s="6"/>
      <c r="F39" s="6"/>
    </row>
    <row r="40" customFormat="false" ht="15" hidden="false" customHeight="false" outlineLevel="0" collapsed="false">
      <c r="A40" s="6" t="s">
        <v>54</v>
      </c>
      <c r="B40" s="6" t="s">
        <v>171</v>
      </c>
      <c r="C40" s="6" t="s">
        <v>126</v>
      </c>
      <c r="D40" s="6"/>
      <c r="E40" s="6"/>
      <c r="F40" s="6"/>
    </row>
    <row r="41" customFormat="false" ht="15" hidden="false" customHeight="false" outlineLevel="0" collapsed="false">
      <c r="A41" s="6" t="s">
        <v>54</v>
      </c>
      <c r="B41" s="6" t="s">
        <v>172</v>
      </c>
      <c r="C41" s="6" t="s">
        <v>126</v>
      </c>
      <c r="D41" s="6"/>
      <c r="E41" s="6"/>
      <c r="F41" s="6"/>
    </row>
    <row r="42" customFormat="false" ht="15" hidden="false" customHeight="false" outlineLevel="0" collapsed="false">
      <c r="A42" s="6" t="s">
        <v>57</v>
      </c>
      <c r="B42" s="6" t="s">
        <v>122</v>
      </c>
      <c r="C42" s="6" t="s">
        <v>123</v>
      </c>
      <c r="D42" s="6" t="s">
        <v>124</v>
      </c>
      <c r="E42" s="6"/>
      <c r="F42" s="6"/>
    </row>
    <row r="43" customFormat="false" ht="15" hidden="false" customHeight="false" outlineLevel="0" collapsed="false">
      <c r="A43" s="6" t="s">
        <v>57</v>
      </c>
      <c r="B43" s="6" t="s">
        <v>153</v>
      </c>
      <c r="C43" s="6" t="s">
        <v>123</v>
      </c>
      <c r="D43" s="6" t="s">
        <v>129</v>
      </c>
      <c r="E43" s="6" t="s">
        <v>154</v>
      </c>
      <c r="F43" s="6"/>
    </row>
    <row r="44" customFormat="false" ht="15" hidden="false" customHeight="false" outlineLevel="0" collapsed="false">
      <c r="A44" s="6" t="s">
        <v>57</v>
      </c>
      <c r="B44" s="6" t="s">
        <v>173</v>
      </c>
      <c r="C44" s="6" t="s">
        <v>126</v>
      </c>
      <c r="D44" s="6"/>
      <c r="E44" s="6"/>
      <c r="F44" s="6"/>
    </row>
    <row r="45" customFormat="false" ht="15" hidden="false" customHeight="false" outlineLevel="0" collapsed="false">
      <c r="A45" s="6" t="s">
        <v>57</v>
      </c>
      <c r="B45" s="6" t="s">
        <v>174</v>
      </c>
      <c r="C45" s="6" t="s">
        <v>157</v>
      </c>
      <c r="D45" s="6"/>
      <c r="E45" s="6"/>
      <c r="F45" s="6"/>
    </row>
    <row r="46" customFormat="false" ht="15" hidden="false" customHeight="false" outlineLevel="0" collapsed="false">
      <c r="A46" s="6" t="s">
        <v>57</v>
      </c>
      <c r="B46" s="6" t="s">
        <v>175</v>
      </c>
      <c r="C46" s="6" t="s">
        <v>139</v>
      </c>
      <c r="D46" s="6"/>
      <c r="E46" s="6"/>
      <c r="F46" s="6" t="s">
        <v>176</v>
      </c>
    </row>
    <row r="47" customFormat="false" ht="15" hidden="false" customHeight="false" outlineLevel="0" collapsed="false">
      <c r="A47" s="6" t="s">
        <v>57</v>
      </c>
      <c r="B47" s="6" t="s">
        <v>177</v>
      </c>
      <c r="C47" s="6" t="s">
        <v>139</v>
      </c>
      <c r="D47" s="6"/>
      <c r="E47" s="6"/>
      <c r="F47" s="6" t="s">
        <v>176</v>
      </c>
    </row>
    <row r="48" customFormat="false" ht="15" hidden="false" customHeight="false" outlineLevel="0" collapsed="false">
      <c r="A48" s="6" t="s">
        <v>57</v>
      </c>
      <c r="B48" s="6" t="s">
        <v>178</v>
      </c>
      <c r="C48" s="6" t="s">
        <v>139</v>
      </c>
      <c r="D48" s="6"/>
      <c r="E48" s="6"/>
      <c r="F48" s="6" t="s">
        <v>176</v>
      </c>
    </row>
    <row r="49" customFormat="false" ht="15" hidden="false" customHeight="false" outlineLevel="0" collapsed="false">
      <c r="A49" s="6" t="s">
        <v>60</v>
      </c>
      <c r="B49" s="6" t="s">
        <v>122</v>
      </c>
      <c r="C49" s="6" t="s">
        <v>123</v>
      </c>
      <c r="D49" s="6" t="s">
        <v>124</v>
      </c>
      <c r="E49" s="6"/>
      <c r="F49" s="6"/>
    </row>
    <row r="50" customFormat="false" ht="15" hidden="false" customHeight="false" outlineLevel="0" collapsed="false">
      <c r="A50" s="6" t="s">
        <v>60</v>
      </c>
      <c r="B50" s="6" t="s">
        <v>179</v>
      </c>
      <c r="C50" s="6" t="s">
        <v>123</v>
      </c>
      <c r="D50" s="6" t="s">
        <v>129</v>
      </c>
      <c r="E50" s="6" t="s">
        <v>180</v>
      </c>
      <c r="F50" s="6"/>
    </row>
    <row r="51" customFormat="false" ht="15" hidden="false" customHeight="false" outlineLevel="0" collapsed="false">
      <c r="A51" s="6" t="s">
        <v>60</v>
      </c>
      <c r="B51" s="6" t="s">
        <v>159</v>
      </c>
      <c r="C51" s="6" t="s">
        <v>123</v>
      </c>
      <c r="D51" s="6" t="s">
        <v>129</v>
      </c>
      <c r="E51" s="6" t="s">
        <v>160</v>
      </c>
      <c r="F51" s="6"/>
    </row>
    <row r="52" customFormat="false" ht="15" hidden="false" customHeight="false" outlineLevel="0" collapsed="false">
      <c r="A52" s="6" t="s">
        <v>60</v>
      </c>
      <c r="B52" s="6" t="s">
        <v>181</v>
      </c>
      <c r="C52" s="6" t="s">
        <v>139</v>
      </c>
      <c r="D52" s="6"/>
      <c r="E52" s="6"/>
      <c r="F52" s="6" t="s">
        <v>149</v>
      </c>
    </row>
    <row r="53" customFormat="false" ht="15" hidden="false" customHeight="false" outlineLevel="0" collapsed="false">
      <c r="A53" s="6" t="s">
        <v>60</v>
      </c>
      <c r="B53" s="6" t="s">
        <v>158</v>
      </c>
      <c r="C53" s="6" t="s">
        <v>139</v>
      </c>
      <c r="D53" s="6"/>
      <c r="E53" s="6"/>
      <c r="F53" s="6" t="s">
        <v>144</v>
      </c>
    </row>
    <row r="54" customFormat="false" ht="15" hidden="false" customHeight="false" outlineLevel="0" collapsed="false">
      <c r="A54" s="6" t="s">
        <v>62</v>
      </c>
      <c r="B54" s="6" t="s">
        <v>122</v>
      </c>
      <c r="C54" s="6" t="s">
        <v>123</v>
      </c>
      <c r="D54" s="6" t="s">
        <v>124</v>
      </c>
      <c r="E54" s="6"/>
      <c r="F54" s="6"/>
    </row>
    <row r="55" customFormat="false" ht="15" hidden="false" customHeight="false" outlineLevel="0" collapsed="false">
      <c r="A55" s="6" t="s">
        <v>62</v>
      </c>
      <c r="B55" s="6" t="s">
        <v>153</v>
      </c>
      <c r="C55" s="6" t="s">
        <v>123</v>
      </c>
      <c r="D55" s="6" t="s">
        <v>129</v>
      </c>
      <c r="E55" s="6" t="s">
        <v>154</v>
      </c>
      <c r="F55" s="6"/>
    </row>
    <row r="56" customFormat="false" ht="15" hidden="false" customHeight="false" outlineLevel="0" collapsed="false">
      <c r="A56" s="6" t="s">
        <v>62</v>
      </c>
      <c r="B56" s="6" t="s">
        <v>179</v>
      </c>
      <c r="C56" s="6" t="s">
        <v>123</v>
      </c>
      <c r="D56" s="6" t="s">
        <v>129</v>
      </c>
      <c r="E56" s="6" t="s">
        <v>180</v>
      </c>
      <c r="F56" s="6"/>
    </row>
    <row r="57" customFormat="false" ht="15" hidden="false" customHeight="false" outlineLevel="0" collapsed="false">
      <c r="A57" s="6" t="s">
        <v>62</v>
      </c>
      <c r="B57" s="6" t="s">
        <v>182</v>
      </c>
      <c r="C57" s="6" t="s">
        <v>157</v>
      </c>
      <c r="D57" s="6"/>
      <c r="E57" s="6"/>
      <c r="F57" s="6"/>
    </row>
    <row r="58" customFormat="false" ht="15" hidden="false" customHeight="false" outlineLevel="0" collapsed="false">
      <c r="A58" s="6" t="s">
        <v>62</v>
      </c>
      <c r="B58" s="6" t="s">
        <v>183</v>
      </c>
      <c r="C58" s="6" t="s">
        <v>126</v>
      </c>
      <c r="D58" s="6"/>
      <c r="E58" s="6"/>
      <c r="F58" s="6"/>
    </row>
    <row r="59" customFormat="false" ht="15" hidden="false" customHeight="false" outlineLevel="0" collapsed="false">
      <c r="A59" s="6" t="s">
        <v>62</v>
      </c>
      <c r="B59" s="6" t="s">
        <v>177</v>
      </c>
      <c r="C59" s="6" t="s">
        <v>139</v>
      </c>
      <c r="D59" s="6"/>
      <c r="E59" s="6"/>
      <c r="F59" s="6" t="s">
        <v>176</v>
      </c>
    </row>
    <row r="60" customFormat="false" ht="15" hidden="false" customHeight="false" outlineLevel="0" collapsed="false">
      <c r="A60" s="6" t="s">
        <v>65</v>
      </c>
      <c r="B60" s="6" t="s">
        <v>122</v>
      </c>
      <c r="C60" s="6" t="s">
        <v>123</v>
      </c>
      <c r="D60" s="6" t="s">
        <v>124</v>
      </c>
      <c r="E60" s="6"/>
      <c r="F60" s="6"/>
    </row>
    <row r="61" customFormat="false" ht="15" hidden="false" customHeight="false" outlineLevel="0" collapsed="false">
      <c r="A61" s="6" t="s">
        <v>65</v>
      </c>
      <c r="B61" s="6" t="s">
        <v>184</v>
      </c>
      <c r="C61" s="6" t="s">
        <v>123</v>
      </c>
      <c r="D61" s="6" t="s">
        <v>129</v>
      </c>
      <c r="E61" s="6" t="s">
        <v>185</v>
      </c>
      <c r="F61" s="6"/>
    </row>
    <row r="62" customFormat="false" ht="15" hidden="false" customHeight="false" outlineLevel="0" collapsed="false">
      <c r="A62" s="6" t="s">
        <v>65</v>
      </c>
      <c r="B62" s="6" t="s">
        <v>159</v>
      </c>
      <c r="C62" s="6" t="s">
        <v>123</v>
      </c>
      <c r="D62" s="6" t="s">
        <v>129</v>
      </c>
      <c r="E62" s="6" t="s">
        <v>160</v>
      </c>
      <c r="F62" s="6"/>
    </row>
    <row r="63" customFormat="false" ht="15" hidden="false" customHeight="false" outlineLevel="0" collapsed="false">
      <c r="A63" s="6" t="s">
        <v>65</v>
      </c>
      <c r="B63" s="6" t="s">
        <v>181</v>
      </c>
      <c r="C63" s="6" t="s">
        <v>139</v>
      </c>
      <c r="D63" s="6"/>
      <c r="E63" s="6"/>
      <c r="F63" s="6" t="s">
        <v>149</v>
      </c>
    </row>
    <row r="64" customFormat="false" ht="15" hidden="false" customHeight="false" outlineLevel="0" collapsed="false">
      <c r="A64" s="6" t="s">
        <v>65</v>
      </c>
      <c r="B64" s="6" t="s">
        <v>158</v>
      </c>
      <c r="C64" s="6" t="s">
        <v>139</v>
      </c>
      <c r="D64" s="6"/>
      <c r="E64" s="6"/>
      <c r="F64" s="6" t="s">
        <v>144</v>
      </c>
    </row>
    <row r="65" customFormat="false" ht="15" hidden="false" customHeight="false" outlineLevel="0" collapsed="false">
      <c r="A65" s="6" t="s">
        <v>67</v>
      </c>
      <c r="B65" s="6" t="s">
        <v>122</v>
      </c>
      <c r="C65" s="6" t="s">
        <v>123</v>
      </c>
      <c r="D65" s="6" t="s">
        <v>124</v>
      </c>
      <c r="E65" s="6"/>
      <c r="F65" s="6"/>
    </row>
    <row r="66" customFormat="false" ht="15" hidden="false" customHeight="false" outlineLevel="0" collapsed="false">
      <c r="A66" s="6" t="s">
        <v>67</v>
      </c>
      <c r="B66" s="6" t="s">
        <v>125</v>
      </c>
      <c r="C66" s="6" t="s">
        <v>126</v>
      </c>
      <c r="D66" s="6"/>
      <c r="E66" s="6"/>
      <c r="F66" s="6"/>
    </row>
    <row r="67" customFormat="false" ht="15" hidden="false" customHeight="false" outlineLevel="0" collapsed="false">
      <c r="A67" s="6" t="s">
        <v>67</v>
      </c>
      <c r="B67" s="6" t="s">
        <v>127</v>
      </c>
      <c r="C67" s="6" t="s">
        <v>126</v>
      </c>
      <c r="D67" s="6"/>
      <c r="E67" s="6"/>
      <c r="F67" s="6"/>
    </row>
    <row r="68" customFormat="false" ht="15" hidden="false" customHeight="false" outlineLevel="0" collapsed="false">
      <c r="A68" s="6" t="s">
        <v>67</v>
      </c>
      <c r="B68" s="6" t="s">
        <v>171</v>
      </c>
      <c r="C68" s="6" t="s">
        <v>126</v>
      </c>
      <c r="D68" s="6"/>
      <c r="E68" s="6"/>
      <c r="F68" s="6"/>
    </row>
    <row r="69" customFormat="false" ht="15" hidden="false" customHeight="false" outlineLevel="0" collapsed="false">
      <c r="A69" s="6" t="s">
        <v>67</v>
      </c>
      <c r="B69" s="6" t="s">
        <v>186</v>
      </c>
      <c r="C69" s="6" t="s">
        <v>126</v>
      </c>
      <c r="D69" s="6"/>
      <c r="E69" s="6"/>
      <c r="F69" s="6"/>
    </row>
    <row r="70" customFormat="false" ht="15" hidden="false" customHeight="false" outlineLevel="0" collapsed="false">
      <c r="A70" s="6" t="s">
        <v>67</v>
      </c>
      <c r="B70" s="6" t="s">
        <v>187</v>
      </c>
      <c r="C70" s="6" t="s">
        <v>139</v>
      </c>
      <c r="D70" s="6"/>
      <c r="E70" s="6"/>
      <c r="F70" s="6" t="s">
        <v>176</v>
      </c>
    </row>
    <row r="71" customFormat="false" ht="15" hidden="false" customHeight="false" outlineLevel="0" collapsed="false">
      <c r="A71" s="6" t="s">
        <v>67</v>
      </c>
      <c r="B71" s="6" t="s">
        <v>188</v>
      </c>
      <c r="C71" s="6" t="s">
        <v>126</v>
      </c>
      <c r="D71" s="6"/>
      <c r="E71" s="6"/>
      <c r="F71" s="6" t="s">
        <v>189</v>
      </c>
    </row>
    <row r="72" customFormat="false" ht="15" hidden="false" customHeight="false" outlineLevel="0" collapsed="false">
      <c r="A72" s="6" t="s">
        <v>67</v>
      </c>
      <c r="B72" s="6" t="s">
        <v>190</v>
      </c>
      <c r="C72" s="6" t="s">
        <v>126</v>
      </c>
      <c r="D72" s="6"/>
      <c r="E72" s="6"/>
      <c r="F72" s="6"/>
    </row>
    <row r="73" customFormat="false" ht="15" hidden="false" customHeight="false" outlineLevel="0" collapsed="false">
      <c r="A73" s="6" t="s">
        <v>71</v>
      </c>
      <c r="B73" s="6" t="s">
        <v>122</v>
      </c>
      <c r="C73" s="6" t="s">
        <v>123</v>
      </c>
      <c r="D73" s="6" t="s">
        <v>124</v>
      </c>
      <c r="E73" s="6"/>
      <c r="F73" s="6"/>
    </row>
    <row r="74" customFormat="false" ht="15" hidden="false" customHeight="false" outlineLevel="0" collapsed="false">
      <c r="A74" s="6" t="s">
        <v>71</v>
      </c>
      <c r="B74" s="6" t="s">
        <v>191</v>
      </c>
      <c r="C74" s="6" t="s">
        <v>126</v>
      </c>
      <c r="D74" s="6"/>
      <c r="E74" s="6"/>
      <c r="F74" s="6" t="s">
        <v>192</v>
      </c>
    </row>
    <row r="75" customFormat="false" ht="15" hidden="false" customHeight="false" outlineLevel="0" collapsed="false">
      <c r="A75" s="6" t="s">
        <v>71</v>
      </c>
      <c r="B75" s="6" t="s">
        <v>193</v>
      </c>
      <c r="C75" s="6" t="s">
        <v>123</v>
      </c>
      <c r="D75" s="6" t="s">
        <v>129</v>
      </c>
      <c r="E75" s="6" t="s">
        <v>194</v>
      </c>
      <c r="F75" s="6" t="s">
        <v>195</v>
      </c>
    </row>
    <row r="76" customFormat="false" ht="15" hidden="false" customHeight="false" outlineLevel="0" collapsed="false">
      <c r="A76" s="6" t="s">
        <v>71</v>
      </c>
      <c r="B76" s="6" t="s">
        <v>167</v>
      </c>
      <c r="C76" s="6" t="s">
        <v>123</v>
      </c>
      <c r="D76" s="6" t="s">
        <v>129</v>
      </c>
      <c r="E76" s="6" t="s">
        <v>196</v>
      </c>
      <c r="F76" s="6"/>
    </row>
    <row r="77" customFormat="false" ht="15" hidden="false" customHeight="false" outlineLevel="0" collapsed="false">
      <c r="A77" s="6" t="s">
        <v>71</v>
      </c>
      <c r="B77" s="6" t="s">
        <v>197</v>
      </c>
      <c r="C77" s="6" t="s">
        <v>170</v>
      </c>
      <c r="D77" s="6"/>
      <c r="E77" s="6"/>
      <c r="F77" s="6"/>
    </row>
    <row r="78" customFormat="false" ht="15" hidden="false" customHeight="false" outlineLevel="0" collapsed="false">
      <c r="A78" s="6" t="s">
        <v>71</v>
      </c>
      <c r="B78" s="6" t="s">
        <v>198</v>
      </c>
      <c r="C78" s="6" t="s">
        <v>157</v>
      </c>
      <c r="D78" s="6"/>
      <c r="E78" s="6"/>
      <c r="F78" s="6"/>
    </row>
    <row r="79" customFormat="false" ht="15" hidden="false" customHeight="false" outlineLevel="0" collapsed="false">
      <c r="A79" s="6" t="s">
        <v>71</v>
      </c>
      <c r="B79" s="6" t="s">
        <v>199</v>
      </c>
      <c r="C79" s="6" t="s">
        <v>126</v>
      </c>
      <c r="D79" s="6"/>
      <c r="E79" s="6"/>
      <c r="F79" s="6" t="s">
        <v>189</v>
      </c>
    </row>
    <row r="80" customFormat="false" ht="15" hidden="false" customHeight="false" outlineLevel="0" collapsed="false">
      <c r="A80" s="6" t="s">
        <v>71</v>
      </c>
      <c r="B80" s="6" t="s">
        <v>200</v>
      </c>
      <c r="C80" s="6" t="s">
        <v>139</v>
      </c>
      <c r="D80" s="6"/>
      <c r="E80" s="6"/>
      <c r="F80" s="6" t="s">
        <v>176</v>
      </c>
    </row>
    <row r="81" customFormat="false" ht="15" hidden="false" customHeight="false" outlineLevel="0" collapsed="false">
      <c r="A81" s="6" t="s">
        <v>71</v>
      </c>
      <c r="B81" s="6" t="s">
        <v>201</v>
      </c>
      <c r="C81" s="6" t="s">
        <v>139</v>
      </c>
      <c r="D81" s="6"/>
      <c r="E81" s="6"/>
      <c r="F81" s="6" t="s">
        <v>176</v>
      </c>
    </row>
    <row r="82" customFormat="false" ht="15" hidden="false" customHeight="false" outlineLevel="0" collapsed="false">
      <c r="A82" s="6" t="s">
        <v>71</v>
      </c>
      <c r="B82" s="6" t="s">
        <v>177</v>
      </c>
      <c r="C82" s="6" t="s">
        <v>139</v>
      </c>
      <c r="D82" s="6"/>
      <c r="E82" s="6"/>
      <c r="F82" s="6" t="s">
        <v>176</v>
      </c>
    </row>
    <row r="83" customFormat="false" ht="15" hidden="false" customHeight="false" outlineLevel="0" collapsed="false">
      <c r="A83" s="6" t="s">
        <v>71</v>
      </c>
      <c r="B83" s="6" t="s">
        <v>178</v>
      </c>
      <c r="C83" s="6" t="s">
        <v>139</v>
      </c>
      <c r="D83" s="6"/>
      <c r="E83" s="6"/>
      <c r="F83" s="6" t="s">
        <v>176</v>
      </c>
    </row>
    <row r="84" customFormat="false" ht="15" hidden="false" customHeight="false" outlineLevel="0" collapsed="false">
      <c r="A84" s="6" t="s">
        <v>71</v>
      </c>
      <c r="B84" s="6" t="s">
        <v>202</v>
      </c>
      <c r="C84" s="6" t="s">
        <v>126</v>
      </c>
      <c r="D84" s="6"/>
      <c r="E84" s="6"/>
      <c r="F84" s="6" t="s">
        <v>203</v>
      </c>
    </row>
    <row r="85" customFormat="false" ht="15" hidden="false" customHeight="false" outlineLevel="0" collapsed="false">
      <c r="A85" s="6" t="s">
        <v>71</v>
      </c>
      <c r="B85" s="6" t="s">
        <v>204</v>
      </c>
      <c r="C85" s="6" t="s">
        <v>126</v>
      </c>
      <c r="D85" s="6"/>
      <c r="E85" s="6"/>
      <c r="F85" s="6"/>
    </row>
    <row r="86" customFormat="false" ht="15" hidden="false" customHeight="false" outlineLevel="0" collapsed="false">
      <c r="A86" s="6" t="s">
        <v>71</v>
      </c>
      <c r="B86" s="6" t="s">
        <v>205</v>
      </c>
      <c r="C86" s="6" t="s">
        <v>123</v>
      </c>
      <c r="D86" s="6"/>
      <c r="E86" s="6"/>
      <c r="F86" s="6"/>
    </row>
    <row r="87" customFormat="false" ht="15" hidden="false" customHeight="false" outlineLevel="0" collapsed="false">
      <c r="A87" s="6" t="s">
        <v>75</v>
      </c>
      <c r="B87" s="6" t="s">
        <v>122</v>
      </c>
      <c r="C87" s="6" t="s">
        <v>123</v>
      </c>
      <c r="D87" s="6" t="s">
        <v>124</v>
      </c>
      <c r="E87" s="6"/>
      <c r="F87" s="6"/>
    </row>
    <row r="88" customFormat="false" ht="15" hidden="false" customHeight="false" outlineLevel="0" collapsed="false">
      <c r="A88" s="6" t="s">
        <v>75</v>
      </c>
      <c r="B88" s="6" t="s">
        <v>206</v>
      </c>
      <c r="C88" s="6" t="s">
        <v>123</v>
      </c>
      <c r="D88" s="6" t="s">
        <v>129</v>
      </c>
      <c r="E88" s="6" t="s">
        <v>207</v>
      </c>
      <c r="F88" s="6"/>
    </row>
    <row r="89" customFormat="false" ht="15" hidden="false" customHeight="false" outlineLevel="0" collapsed="false">
      <c r="A89" s="6" t="s">
        <v>75</v>
      </c>
      <c r="B89" s="6" t="s">
        <v>151</v>
      </c>
      <c r="C89" s="6" t="s">
        <v>123</v>
      </c>
      <c r="D89" s="6" t="s">
        <v>129</v>
      </c>
      <c r="E89" s="6" t="s">
        <v>152</v>
      </c>
      <c r="F89" s="6"/>
    </row>
    <row r="90" customFormat="false" ht="15" hidden="false" customHeight="false" outlineLevel="0" collapsed="false">
      <c r="A90" s="6" t="s">
        <v>75</v>
      </c>
      <c r="B90" s="6" t="s">
        <v>159</v>
      </c>
      <c r="C90" s="6" t="s">
        <v>123</v>
      </c>
      <c r="D90" s="6" t="s">
        <v>129</v>
      </c>
      <c r="E90" s="6" t="s">
        <v>160</v>
      </c>
      <c r="F90" s="6"/>
    </row>
    <row r="91" customFormat="false" ht="15" hidden="false" customHeight="false" outlineLevel="0" collapsed="false">
      <c r="A91" s="6" t="s">
        <v>75</v>
      </c>
      <c r="B91" s="6" t="s">
        <v>181</v>
      </c>
      <c r="C91" s="6" t="s">
        <v>139</v>
      </c>
      <c r="D91" s="6"/>
      <c r="E91" s="6"/>
      <c r="F91" s="6" t="s">
        <v>149</v>
      </c>
    </row>
    <row r="92" customFormat="false" ht="15" hidden="false" customHeight="false" outlineLevel="0" collapsed="false">
      <c r="A92" s="6" t="s">
        <v>75</v>
      </c>
      <c r="B92" s="6" t="s">
        <v>208</v>
      </c>
      <c r="C92" s="6" t="s">
        <v>139</v>
      </c>
      <c r="D92" s="6"/>
      <c r="E92" s="6"/>
      <c r="F92" s="6" t="s">
        <v>144</v>
      </c>
    </row>
    <row r="93" customFormat="false" ht="15" hidden="false" customHeight="false" outlineLevel="0" collapsed="false">
      <c r="A93" s="6" t="s">
        <v>75</v>
      </c>
      <c r="B93" s="6" t="s">
        <v>158</v>
      </c>
      <c r="C93" s="6" t="s">
        <v>139</v>
      </c>
      <c r="D93" s="6"/>
      <c r="E93" s="6"/>
      <c r="F93" s="6" t="s">
        <v>209</v>
      </c>
    </row>
    <row r="94" customFormat="false" ht="15" hidden="false" customHeight="false" outlineLevel="0" collapsed="false">
      <c r="A94" s="6" t="s">
        <v>75</v>
      </c>
      <c r="B94" s="6" t="s">
        <v>210</v>
      </c>
      <c r="C94" s="6" t="s">
        <v>139</v>
      </c>
      <c r="D94" s="6"/>
      <c r="E94" s="6"/>
      <c r="F94" s="6" t="s">
        <v>176</v>
      </c>
    </row>
    <row r="95" customFormat="false" ht="15" hidden="false" customHeight="false" outlineLevel="0" collapsed="false">
      <c r="A95" s="6" t="s">
        <v>75</v>
      </c>
      <c r="B95" s="6" t="s">
        <v>146</v>
      </c>
      <c r="C95" s="6" t="s">
        <v>139</v>
      </c>
      <c r="D95" s="6"/>
      <c r="E95" s="6"/>
      <c r="F95" s="6"/>
    </row>
    <row r="96" customFormat="false" ht="15" hidden="false" customHeight="false" outlineLevel="0" collapsed="false">
      <c r="A96" s="6" t="s">
        <v>75</v>
      </c>
      <c r="B96" s="6" t="s">
        <v>211</v>
      </c>
      <c r="C96" s="6" t="s">
        <v>139</v>
      </c>
      <c r="D96" s="6"/>
      <c r="E96" s="6"/>
      <c r="F96" s="6" t="s">
        <v>176</v>
      </c>
    </row>
    <row r="97" customFormat="false" ht="15" hidden="false" customHeight="false" outlineLevel="0" collapsed="false">
      <c r="A97" s="6" t="s">
        <v>75</v>
      </c>
      <c r="B97" s="6" t="s">
        <v>212</v>
      </c>
      <c r="C97" s="6" t="s">
        <v>139</v>
      </c>
      <c r="D97" s="6"/>
      <c r="E97" s="6"/>
      <c r="F97" s="6" t="s">
        <v>176</v>
      </c>
    </row>
    <row r="98" customFormat="false" ht="15" hidden="false" customHeight="false" outlineLevel="0" collapsed="false">
      <c r="A98" s="6" t="s">
        <v>78</v>
      </c>
      <c r="B98" s="6" t="s">
        <v>122</v>
      </c>
      <c r="C98" s="6" t="s">
        <v>123</v>
      </c>
      <c r="D98" s="6" t="s">
        <v>124</v>
      </c>
      <c r="E98" s="6"/>
      <c r="F98" s="6"/>
    </row>
    <row r="99" customFormat="false" ht="15" hidden="false" customHeight="false" outlineLevel="0" collapsed="false">
      <c r="A99" s="6" t="s">
        <v>78</v>
      </c>
      <c r="B99" s="6" t="s">
        <v>213</v>
      </c>
      <c r="C99" s="6" t="s">
        <v>126</v>
      </c>
      <c r="D99" s="6"/>
      <c r="E99" s="6"/>
      <c r="F99" s="6"/>
    </row>
    <row r="100" customFormat="false" ht="15" hidden="false" customHeight="false" outlineLevel="0" collapsed="false">
      <c r="A100" s="6" t="s">
        <v>78</v>
      </c>
      <c r="B100" s="6" t="s">
        <v>206</v>
      </c>
      <c r="C100" s="6" t="s">
        <v>123</v>
      </c>
      <c r="D100" s="6" t="s">
        <v>129</v>
      </c>
      <c r="E100" s="6" t="s">
        <v>207</v>
      </c>
      <c r="F100" s="6"/>
    </row>
    <row r="101" customFormat="false" ht="15" hidden="false" customHeight="false" outlineLevel="0" collapsed="false">
      <c r="A101" s="6" t="s">
        <v>78</v>
      </c>
      <c r="B101" s="6" t="s">
        <v>214</v>
      </c>
      <c r="C101" s="6" t="s">
        <v>123</v>
      </c>
      <c r="D101" s="6" t="s">
        <v>129</v>
      </c>
      <c r="E101" s="6" t="s">
        <v>196</v>
      </c>
      <c r="F101" s="6" t="s">
        <v>215</v>
      </c>
    </row>
    <row r="102" customFormat="false" ht="15" hidden="false" customHeight="false" outlineLevel="0" collapsed="false">
      <c r="A102" s="6" t="s">
        <v>78</v>
      </c>
      <c r="B102" s="6" t="s">
        <v>182</v>
      </c>
      <c r="C102" s="6" t="s">
        <v>157</v>
      </c>
      <c r="D102" s="6"/>
      <c r="E102" s="6"/>
      <c r="F102" s="6"/>
    </row>
    <row r="103" customFormat="false" ht="15" hidden="false" customHeight="false" outlineLevel="0" collapsed="false">
      <c r="A103" s="6" t="s">
        <v>78</v>
      </c>
      <c r="B103" s="6" t="s">
        <v>183</v>
      </c>
      <c r="C103" s="6" t="s">
        <v>126</v>
      </c>
      <c r="D103" s="6"/>
      <c r="E103" s="6"/>
      <c r="F103" s="6"/>
    </row>
    <row r="104" customFormat="false" ht="15" hidden="false" customHeight="false" outlineLevel="0" collapsed="false">
      <c r="A104" s="6" t="s">
        <v>78</v>
      </c>
      <c r="B104" s="6" t="s">
        <v>216</v>
      </c>
      <c r="C104" s="6" t="s">
        <v>126</v>
      </c>
      <c r="D104" s="6"/>
      <c r="E104" s="6"/>
      <c r="F104" s="6" t="s">
        <v>217</v>
      </c>
    </row>
    <row r="105" customFormat="false" ht="15" hidden="false" customHeight="false" outlineLevel="0" collapsed="false">
      <c r="A105" s="6" t="s">
        <v>78</v>
      </c>
      <c r="B105" s="6" t="s">
        <v>177</v>
      </c>
      <c r="C105" s="6" t="s">
        <v>139</v>
      </c>
      <c r="D105" s="6"/>
      <c r="E105" s="6"/>
      <c r="F105" s="6" t="s">
        <v>176</v>
      </c>
    </row>
    <row r="106" customFormat="false" ht="15" hidden="false" customHeight="false" outlineLevel="0" collapsed="false">
      <c r="A106" s="6" t="s">
        <v>81</v>
      </c>
      <c r="B106" s="6" t="s">
        <v>122</v>
      </c>
      <c r="C106" s="6" t="s">
        <v>123</v>
      </c>
      <c r="D106" s="6" t="s">
        <v>124</v>
      </c>
      <c r="E106" s="6"/>
      <c r="F106" s="6"/>
    </row>
    <row r="107" customFormat="false" ht="15" hidden="false" customHeight="false" outlineLevel="0" collapsed="false">
      <c r="A107" s="6" t="s">
        <v>81</v>
      </c>
      <c r="B107" s="6" t="s">
        <v>218</v>
      </c>
      <c r="C107" s="6" t="s">
        <v>123</v>
      </c>
      <c r="D107" s="6" t="s">
        <v>129</v>
      </c>
      <c r="E107" s="6" t="s">
        <v>219</v>
      </c>
      <c r="F107" s="6"/>
    </row>
    <row r="108" customFormat="false" ht="15" hidden="false" customHeight="false" outlineLevel="0" collapsed="false">
      <c r="A108" s="6" t="s">
        <v>81</v>
      </c>
      <c r="B108" s="6" t="s">
        <v>220</v>
      </c>
      <c r="C108" s="6" t="s">
        <v>123</v>
      </c>
      <c r="D108" s="6" t="s">
        <v>129</v>
      </c>
      <c r="E108" s="6" t="s">
        <v>221</v>
      </c>
      <c r="F108" s="6"/>
    </row>
    <row r="109" customFormat="false" ht="15" hidden="false" customHeight="false" outlineLevel="0" collapsed="false">
      <c r="A109" s="6" t="s">
        <v>81</v>
      </c>
      <c r="B109" s="6" t="s">
        <v>181</v>
      </c>
      <c r="C109" s="6" t="s">
        <v>139</v>
      </c>
      <c r="D109" s="6"/>
      <c r="E109" s="6"/>
      <c r="F109" s="6" t="s">
        <v>149</v>
      </c>
    </row>
    <row r="110" customFormat="false" ht="15" hidden="false" customHeight="false" outlineLevel="0" collapsed="false">
      <c r="A110" s="6" t="s">
        <v>81</v>
      </c>
      <c r="B110" s="6" t="s">
        <v>222</v>
      </c>
      <c r="C110" s="6" t="s">
        <v>139</v>
      </c>
      <c r="D110" s="6"/>
      <c r="E110" s="6"/>
      <c r="F110" s="6" t="s">
        <v>176</v>
      </c>
    </row>
    <row r="111" customFormat="false" ht="15" hidden="false" customHeight="false" outlineLevel="0" collapsed="false">
      <c r="A111" s="6" t="s">
        <v>81</v>
      </c>
      <c r="B111" s="6" t="s">
        <v>223</v>
      </c>
      <c r="C111" s="6" t="s">
        <v>126</v>
      </c>
      <c r="D111" s="6"/>
      <c r="E111" s="6"/>
      <c r="F111" s="6" t="s">
        <v>224</v>
      </c>
    </row>
    <row r="112" customFormat="false" ht="15" hidden="false" customHeight="false" outlineLevel="0" collapsed="false">
      <c r="A112" s="6" t="s">
        <v>84</v>
      </c>
      <c r="B112" s="6" t="s">
        <v>122</v>
      </c>
      <c r="C112" s="6" t="s">
        <v>123</v>
      </c>
      <c r="D112" s="6" t="s">
        <v>124</v>
      </c>
      <c r="E112" s="6"/>
      <c r="F112" s="6"/>
    </row>
    <row r="113" customFormat="false" ht="15" hidden="false" customHeight="false" outlineLevel="0" collapsed="false">
      <c r="A113" s="6" t="s">
        <v>84</v>
      </c>
      <c r="B113" s="6" t="s">
        <v>225</v>
      </c>
      <c r="C113" s="6" t="s">
        <v>126</v>
      </c>
      <c r="D113" s="6"/>
      <c r="E113" s="6"/>
      <c r="F113" s="6" t="s">
        <v>226</v>
      </c>
    </row>
    <row r="114" customFormat="false" ht="15" hidden="false" customHeight="false" outlineLevel="0" collapsed="false">
      <c r="A114" s="6" t="s">
        <v>84</v>
      </c>
      <c r="B114" s="6" t="s">
        <v>227</v>
      </c>
      <c r="C114" s="6" t="s">
        <v>123</v>
      </c>
      <c r="D114" s="6"/>
      <c r="E114" s="6"/>
      <c r="F114" s="6" t="s">
        <v>228</v>
      </c>
    </row>
    <row r="115" customFormat="false" ht="15" hidden="false" customHeight="false" outlineLevel="0" collapsed="false">
      <c r="A115" s="6" t="s">
        <v>84</v>
      </c>
      <c r="B115" s="6" t="s">
        <v>229</v>
      </c>
      <c r="C115" s="6" t="s">
        <v>126</v>
      </c>
      <c r="D115" s="6"/>
      <c r="E115" s="6"/>
      <c r="F115" s="6" t="s">
        <v>230</v>
      </c>
    </row>
    <row r="116" customFormat="false" ht="15" hidden="false" customHeight="false" outlineLevel="0" collapsed="false">
      <c r="A116" s="6" t="s">
        <v>84</v>
      </c>
      <c r="B116" s="6" t="s">
        <v>231</v>
      </c>
      <c r="C116" s="6" t="s">
        <v>126</v>
      </c>
      <c r="D116" s="6"/>
      <c r="E116" s="6"/>
      <c r="F116" s="6"/>
    </row>
    <row r="117" customFormat="false" ht="15" hidden="false" customHeight="false" outlineLevel="0" collapsed="false">
      <c r="A117" s="6" t="s">
        <v>84</v>
      </c>
      <c r="B117" s="6" t="s">
        <v>232</v>
      </c>
      <c r="C117" s="6" t="s">
        <v>139</v>
      </c>
      <c r="D117" s="6"/>
      <c r="E117" s="6"/>
      <c r="F117" s="6" t="s">
        <v>176</v>
      </c>
    </row>
    <row r="118" customFormat="false" ht="15" hidden="false" customHeight="false" outlineLevel="0" collapsed="false">
      <c r="A118" s="6" t="s">
        <v>84</v>
      </c>
      <c r="B118" s="6" t="s">
        <v>233</v>
      </c>
      <c r="C118" s="6" t="s">
        <v>126</v>
      </c>
      <c r="D118" s="6"/>
      <c r="E118" s="6"/>
      <c r="F118" s="6" t="s">
        <v>234</v>
      </c>
    </row>
    <row r="119" customFormat="false" ht="15" hidden="false" customHeight="false" outlineLevel="0" collapsed="false">
      <c r="A119" s="6" t="s">
        <v>84</v>
      </c>
      <c r="B119" s="6" t="s">
        <v>235</v>
      </c>
      <c r="C119" s="6" t="s">
        <v>170</v>
      </c>
      <c r="D119" s="6"/>
      <c r="E119" s="6"/>
      <c r="F119" s="6"/>
    </row>
    <row r="120" customFormat="false" ht="15" hidden="false" customHeight="false" outlineLevel="0" collapsed="false">
      <c r="A120" s="6" t="s">
        <v>88</v>
      </c>
      <c r="B120" s="6" t="s">
        <v>122</v>
      </c>
      <c r="C120" s="6" t="s">
        <v>123</v>
      </c>
      <c r="D120" s="6" t="s">
        <v>124</v>
      </c>
      <c r="E120" s="6"/>
      <c r="F120" s="6"/>
    </row>
    <row r="121" customFormat="false" ht="15" hidden="false" customHeight="false" outlineLevel="0" collapsed="false">
      <c r="A121" s="6" t="s">
        <v>88</v>
      </c>
      <c r="B121" s="6" t="s">
        <v>225</v>
      </c>
      <c r="C121" s="6" t="s">
        <v>126</v>
      </c>
      <c r="D121" s="6"/>
      <c r="E121" s="6"/>
      <c r="F121" s="6" t="s">
        <v>226</v>
      </c>
    </row>
    <row r="122" customFormat="false" ht="15" hidden="false" customHeight="false" outlineLevel="0" collapsed="false">
      <c r="A122" s="6" t="s">
        <v>88</v>
      </c>
      <c r="B122" s="6" t="s">
        <v>227</v>
      </c>
      <c r="C122" s="6" t="s">
        <v>123</v>
      </c>
      <c r="D122" s="6"/>
      <c r="E122" s="6"/>
      <c r="F122" s="6" t="s">
        <v>228</v>
      </c>
    </row>
    <row r="123" customFormat="false" ht="15" hidden="false" customHeight="false" outlineLevel="0" collapsed="false">
      <c r="A123" s="6" t="s">
        <v>88</v>
      </c>
      <c r="B123" s="6" t="s">
        <v>236</v>
      </c>
      <c r="C123" s="6" t="s">
        <v>126</v>
      </c>
      <c r="D123" s="6"/>
      <c r="E123" s="6"/>
      <c r="F123" s="6" t="s">
        <v>237</v>
      </c>
    </row>
    <row r="124" customFormat="false" ht="15" hidden="false" customHeight="false" outlineLevel="0" collapsed="false">
      <c r="A124" s="6" t="s">
        <v>88</v>
      </c>
      <c r="B124" s="6" t="s">
        <v>238</v>
      </c>
      <c r="C124" s="6" t="s">
        <v>139</v>
      </c>
      <c r="D124" s="6"/>
      <c r="E124" s="6"/>
      <c r="F124" s="6" t="s">
        <v>239</v>
      </c>
    </row>
    <row r="125" customFormat="false" ht="15" hidden="false" customHeight="false" outlineLevel="0" collapsed="false">
      <c r="A125" s="6" t="s">
        <v>88</v>
      </c>
      <c r="B125" s="6" t="s">
        <v>165</v>
      </c>
      <c r="C125" s="6" t="s">
        <v>126</v>
      </c>
      <c r="D125" s="6"/>
      <c r="E125" s="6"/>
      <c r="F125" s="6"/>
    </row>
    <row r="126" customFormat="false" ht="15" hidden="false" customHeight="false" outlineLevel="0" collapsed="false">
      <c r="A126" s="6" t="s">
        <v>88</v>
      </c>
      <c r="B126" s="6" t="s">
        <v>166</v>
      </c>
      <c r="C126" s="6" t="s">
        <v>123</v>
      </c>
      <c r="D126" s="6"/>
      <c r="E126" s="6"/>
      <c r="F126" s="6"/>
    </row>
    <row r="127" customFormat="false" ht="15" hidden="false" customHeight="false" outlineLevel="0" collapsed="false">
      <c r="A127" s="6" t="s">
        <v>88</v>
      </c>
      <c r="B127" s="6" t="s">
        <v>240</v>
      </c>
      <c r="C127" s="6" t="s">
        <v>170</v>
      </c>
      <c r="D127" s="6"/>
      <c r="E127" s="6"/>
      <c r="F127" s="6"/>
    </row>
    <row r="128" customFormat="false" ht="15" hidden="false" customHeight="false" outlineLevel="0" collapsed="false">
      <c r="A128" s="6" t="s">
        <v>91</v>
      </c>
      <c r="B128" s="6" t="s">
        <v>122</v>
      </c>
      <c r="C128" s="6" t="s">
        <v>123</v>
      </c>
      <c r="D128" s="6" t="s">
        <v>124</v>
      </c>
      <c r="E128" s="6"/>
      <c r="F128" s="6"/>
    </row>
    <row r="129" customFormat="false" ht="15" hidden="false" customHeight="false" outlineLevel="0" collapsed="false">
      <c r="A129" s="6" t="s">
        <v>91</v>
      </c>
      <c r="B129" s="6" t="s">
        <v>241</v>
      </c>
      <c r="C129" s="6" t="s">
        <v>126</v>
      </c>
      <c r="D129" s="6"/>
      <c r="E129" s="6"/>
      <c r="F129" s="6"/>
    </row>
    <row r="130" customFormat="false" ht="15" hidden="false" customHeight="false" outlineLevel="0" collapsed="false">
      <c r="A130" s="6" t="s">
        <v>91</v>
      </c>
      <c r="B130" s="6" t="s">
        <v>242</v>
      </c>
      <c r="C130" s="6" t="s">
        <v>126</v>
      </c>
      <c r="D130" s="6"/>
      <c r="E130" s="6"/>
      <c r="F130" s="6" t="s">
        <v>243</v>
      </c>
    </row>
    <row r="131" customFormat="false" ht="15" hidden="false" customHeight="false" outlineLevel="0" collapsed="false">
      <c r="A131" s="6" t="s">
        <v>91</v>
      </c>
      <c r="B131" s="6" t="s">
        <v>244</v>
      </c>
      <c r="C131" s="6" t="s">
        <v>126</v>
      </c>
      <c r="D131" s="6"/>
      <c r="E131" s="6"/>
      <c r="F131" s="6" t="s">
        <v>245</v>
      </c>
    </row>
    <row r="132" customFormat="false" ht="15" hidden="false" customHeight="false" outlineLevel="0" collapsed="false">
      <c r="A132" s="6" t="s">
        <v>91</v>
      </c>
      <c r="B132" s="6" t="s">
        <v>246</v>
      </c>
      <c r="C132" s="6" t="s">
        <v>126</v>
      </c>
      <c r="D132" s="6"/>
      <c r="E132" s="6"/>
      <c r="F132" s="6" t="s">
        <v>247</v>
      </c>
    </row>
    <row r="133" customFormat="false" ht="15" hidden="false" customHeight="false" outlineLevel="0" collapsed="false">
      <c r="A133" s="6" t="s">
        <v>91</v>
      </c>
      <c r="B133" s="6" t="s">
        <v>150</v>
      </c>
      <c r="C133" s="6" t="s">
        <v>142</v>
      </c>
      <c r="D133" s="6"/>
      <c r="E133" s="6"/>
      <c r="F133" s="6" t="s">
        <v>245</v>
      </c>
    </row>
    <row r="134" customFormat="false" ht="15" hidden="false" customHeight="false" outlineLevel="0" collapsed="false">
      <c r="A134" s="6" t="s">
        <v>94</v>
      </c>
      <c r="B134" s="6" t="s">
        <v>122</v>
      </c>
      <c r="C134" s="6" t="s">
        <v>123</v>
      </c>
      <c r="D134" s="6" t="s">
        <v>124</v>
      </c>
      <c r="E134" s="6"/>
      <c r="F134" s="6"/>
    </row>
    <row r="135" customFormat="false" ht="15" hidden="false" customHeight="false" outlineLevel="0" collapsed="false">
      <c r="A135" s="6" t="s">
        <v>94</v>
      </c>
      <c r="B135" s="6" t="s">
        <v>241</v>
      </c>
      <c r="C135" s="6" t="s">
        <v>126</v>
      </c>
      <c r="D135" s="6"/>
      <c r="E135" s="6"/>
      <c r="F135" s="6" t="s">
        <v>245</v>
      </c>
    </row>
    <row r="136" customFormat="false" ht="15" hidden="false" customHeight="false" outlineLevel="0" collapsed="false">
      <c r="A136" s="6" t="s">
        <v>94</v>
      </c>
      <c r="B136" s="6" t="s">
        <v>171</v>
      </c>
      <c r="C136" s="6" t="s">
        <v>126</v>
      </c>
      <c r="D136" s="6"/>
      <c r="E136" s="6"/>
      <c r="F136" s="6" t="s">
        <v>245</v>
      </c>
    </row>
    <row r="137" customFormat="false" ht="15" hidden="false" customHeight="false" outlineLevel="0" collapsed="false">
      <c r="A137" s="6" t="s">
        <v>94</v>
      </c>
      <c r="B137" s="6" t="s">
        <v>172</v>
      </c>
      <c r="C137" s="6" t="s">
        <v>126</v>
      </c>
      <c r="D137" s="6"/>
      <c r="E137" s="6"/>
      <c r="F137" s="6" t="s">
        <v>245</v>
      </c>
    </row>
    <row r="138" customFormat="false" ht="15" hidden="false" customHeight="false" outlineLevel="0" collapsed="false">
      <c r="A138" s="6" t="s">
        <v>94</v>
      </c>
      <c r="B138" s="6" t="s">
        <v>248</v>
      </c>
      <c r="C138" s="6" t="s">
        <v>126</v>
      </c>
      <c r="D138" s="6"/>
      <c r="E138" s="6"/>
      <c r="F138" s="6" t="s">
        <v>245</v>
      </c>
    </row>
    <row r="139" customFormat="false" ht="15" hidden="false" customHeight="false" outlineLevel="0" collapsed="false">
      <c r="A139" s="6" t="s">
        <v>99</v>
      </c>
      <c r="B139" s="6" t="s">
        <v>122</v>
      </c>
      <c r="C139" s="6" t="s">
        <v>123</v>
      </c>
      <c r="D139" s="6" t="s">
        <v>124</v>
      </c>
      <c r="E139" s="6"/>
      <c r="F139" s="6"/>
    </row>
    <row r="140" customFormat="false" ht="15" hidden="false" customHeight="false" outlineLevel="0" collapsed="false">
      <c r="A140" s="6" t="s">
        <v>99</v>
      </c>
      <c r="B140" s="6" t="s">
        <v>249</v>
      </c>
      <c r="C140" s="6" t="s">
        <v>123</v>
      </c>
      <c r="D140" s="6" t="s">
        <v>129</v>
      </c>
      <c r="E140" s="6" t="s">
        <v>250</v>
      </c>
      <c r="F140" s="6" t="s">
        <v>245</v>
      </c>
    </row>
    <row r="141" customFormat="false" ht="15" hidden="false" customHeight="false" outlineLevel="0" collapsed="false">
      <c r="A141" s="6" t="s">
        <v>99</v>
      </c>
      <c r="B141" s="6" t="s">
        <v>241</v>
      </c>
      <c r="C141" s="6" t="s">
        <v>126</v>
      </c>
      <c r="D141" s="6"/>
      <c r="E141" s="6"/>
      <c r="F141" s="6" t="s">
        <v>245</v>
      </c>
    </row>
    <row r="142" customFormat="false" ht="15" hidden="false" customHeight="false" outlineLevel="0" collapsed="false">
      <c r="A142" s="6" t="s">
        <v>99</v>
      </c>
      <c r="B142" s="6" t="s">
        <v>251</v>
      </c>
      <c r="C142" s="6" t="s">
        <v>126</v>
      </c>
      <c r="D142" s="6"/>
      <c r="E142" s="6"/>
      <c r="F142" s="6" t="s">
        <v>245</v>
      </c>
    </row>
    <row r="143" customFormat="false" ht="15" hidden="false" customHeight="false" outlineLevel="0" collapsed="false">
      <c r="A143" s="6" t="s">
        <v>102</v>
      </c>
      <c r="B143" s="6" t="s">
        <v>122</v>
      </c>
      <c r="C143" s="6" t="s">
        <v>123</v>
      </c>
      <c r="D143" s="6" t="s">
        <v>124</v>
      </c>
      <c r="E143" s="6"/>
      <c r="F143" s="6"/>
    </row>
    <row r="144" customFormat="false" ht="15" hidden="false" customHeight="false" outlineLevel="0" collapsed="false">
      <c r="A144" s="6" t="s">
        <v>102</v>
      </c>
      <c r="B144" s="6" t="s">
        <v>252</v>
      </c>
      <c r="C144" s="6" t="s">
        <v>123</v>
      </c>
      <c r="D144" s="6" t="s">
        <v>129</v>
      </c>
      <c r="E144" s="6" t="s">
        <v>253</v>
      </c>
      <c r="F144" s="6" t="s">
        <v>245</v>
      </c>
    </row>
    <row r="145" customFormat="false" ht="15" hidden="false" customHeight="false" outlineLevel="0" collapsed="false">
      <c r="A145" s="6" t="s">
        <v>102</v>
      </c>
      <c r="B145" s="6" t="s">
        <v>241</v>
      </c>
      <c r="C145" s="6" t="s">
        <v>126</v>
      </c>
      <c r="D145" s="6"/>
      <c r="E145" s="6"/>
      <c r="F145" s="6" t="s">
        <v>245</v>
      </c>
    </row>
    <row r="146" customFormat="false" ht="15" hidden="false" customHeight="false" outlineLevel="0" collapsed="false">
      <c r="A146" s="6" t="s">
        <v>102</v>
      </c>
      <c r="B146" s="6" t="s">
        <v>254</v>
      </c>
      <c r="C146" s="6" t="s">
        <v>126</v>
      </c>
      <c r="D146" s="6"/>
      <c r="E146" s="6"/>
      <c r="F146" s="6" t="s">
        <v>255</v>
      </c>
    </row>
    <row r="147" customFormat="false" ht="15" hidden="false" customHeight="false" outlineLevel="0" collapsed="false">
      <c r="A147" s="6" t="s">
        <v>105</v>
      </c>
      <c r="B147" s="6" t="s">
        <v>122</v>
      </c>
      <c r="C147" s="6" t="s">
        <v>123</v>
      </c>
      <c r="D147" s="6" t="s">
        <v>124</v>
      </c>
      <c r="E147" s="6"/>
      <c r="F147" s="6"/>
    </row>
    <row r="148" customFormat="false" ht="15" hidden="false" customHeight="false" outlineLevel="0" collapsed="false">
      <c r="A148" s="6" t="s">
        <v>105</v>
      </c>
      <c r="B148" s="6" t="s">
        <v>256</v>
      </c>
      <c r="C148" s="6" t="s">
        <v>126</v>
      </c>
      <c r="D148" s="6"/>
      <c r="E148" s="6"/>
      <c r="F148" s="6" t="s">
        <v>257</v>
      </c>
    </row>
    <row r="149" customFormat="false" ht="15" hidden="false" customHeight="false" outlineLevel="0" collapsed="false">
      <c r="A149" s="6" t="s">
        <v>105</v>
      </c>
      <c r="B149" s="6" t="s">
        <v>258</v>
      </c>
      <c r="C149" s="6" t="s">
        <v>126</v>
      </c>
      <c r="D149" s="6"/>
      <c r="E149" s="6"/>
      <c r="F149" s="6" t="s">
        <v>245</v>
      </c>
    </row>
    <row r="150" customFormat="false" ht="15" hidden="false" customHeight="false" outlineLevel="0" collapsed="false">
      <c r="A150" s="6" t="s">
        <v>107</v>
      </c>
      <c r="B150" s="6" t="s">
        <v>122</v>
      </c>
      <c r="C150" s="6" t="s">
        <v>123</v>
      </c>
      <c r="D150" s="6" t="s">
        <v>124</v>
      </c>
      <c r="E150" s="6"/>
      <c r="F150" s="6"/>
    </row>
    <row r="151" customFormat="false" ht="15" hidden="false" customHeight="false" outlineLevel="0" collapsed="false">
      <c r="A151" s="6" t="s">
        <v>107</v>
      </c>
      <c r="B151" s="6" t="s">
        <v>259</v>
      </c>
      <c r="C151" s="6" t="s">
        <v>123</v>
      </c>
      <c r="D151" s="6" t="s">
        <v>129</v>
      </c>
      <c r="E151" s="6" t="s">
        <v>260</v>
      </c>
      <c r="F151" s="6" t="s">
        <v>245</v>
      </c>
    </row>
    <row r="152" customFormat="false" ht="15" hidden="false" customHeight="false" outlineLevel="0" collapsed="false">
      <c r="A152" s="6" t="s">
        <v>107</v>
      </c>
      <c r="B152" s="6" t="s">
        <v>261</v>
      </c>
      <c r="C152" s="6" t="s">
        <v>126</v>
      </c>
      <c r="D152" s="6"/>
      <c r="E152" s="6"/>
      <c r="F152" s="6" t="s">
        <v>245</v>
      </c>
    </row>
    <row r="153" customFormat="false" ht="15" hidden="false" customHeight="false" outlineLevel="0" collapsed="false">
      <c r="A153" s="6" t="s">
        <v>107</v>
      </c>
      <c r="B153" s="6" t="s">
        <v>262</v>
      </c>
      <c r="C153" s="6" t="s">
        <v>126</v>
      </c>
      <c r="D153" s="6"/>
      <c r="E153" s="6"/>
      <c r="F153" s="6" t="s">
        <v>245</v>
      </c>
    </row>
    <row r="154" customFormat="false" ht="15" hidden="false" customHeight="false" outlineLevel="0" collapsed="false">
      <c r="A154" s="6" t="s">
        <v>107</v>
      </c>
      <c r="B154" s="6" t="s">
        <v>263</v>
      </c>
      <c r="C154" s="6" t="s">
        <v>139</v>
      </c>
      <c r="D154" s="6"/>
      <c r="E154" s="6"/>
      <c r="F154" s="6" t="s">
        <v>245</v>
      </c>
    </row>
    <row r="155" customFormat="false" ht="15" hidden="false" customHeight="false" outlineLevel="0" collapsed="false">
      <c r="A155" s="6" t="s">
        <v>110</v>
      </c>
      <c r="B155" s="6" t="s">
        <v>122</v>
      </c>
      <c r="C155" s="6" t="s">
        <v>123</v>
      </c>
      <c r="D155" s="6" t="s">
        <v>124</v>
      </c>
      <c r="E155" s="6"/>
      <c r="F155" s="6"/>
    </row>
    <row r="156" customFormat="false" ht="15" hidden="false" customHeight="false" outlineLevel="0" collapsed="false">
      <c r="A156" s="6" t="s">
        <v>110</v>
      </c>
      <c r="B156" s="6" t="s">
        <v>264</v>
      </c>
      <c r="C156" s="6" t="s">
        <v>157</v>
      </c>
      <c r="D156" s="6"/>
      <c r="E156" s="6"/>
      <c r="F156" s="6" t="s">
        <v>245</v>
      </c>
    </row>
    <row r="157" customFormat="false" ht="15" hidden="false" customHeight="false" outlineLevel="0" collapsed="false">
      <c r="A157" s="6" t="s">
        <v>110</v>
      </c>
      <c r="B157" s="6" t="s">
        <v>265</v>
      </c>
      <c r="C157" s="6" t="s">
        <v>126</v>
      </c>
      <c r="D157" s="6"/>
      <c r="E157" s="6"/>
      <c r="F157" s="6" t="s">
        <v>245</v>
      </c>
    </row>
    <row r="158" customFormat="false" ht="15" hidden="false" customHeight="false" outlineLevel="0" collapsed="false">
      <c r="A158" s="6" t="s">
        <v>110</v>
      </c>
      <c r="B158" s="6" t="s">
        <v>266</v>
      </c>
      <c r="C158" s="6" t="s">
        <v>126</v>
      </c>
      <c r="D158" s="6"/>
      <c r="E158" s="6"/>
      <c r="F158" s="6" t="s">
        <v>245</v>
      </c>
    </row>
    <row r="159" customFormat="false" ht="15" hidden="false" customHeight="false" outlineLevel="0" collapsed="false">
      <c r="A159" s="6" t="s">
        <v>110</v>
      </c>
      <c r="B159" s="6" t="s">
        <v>232</v>
      </c>
      <c r="C159" s="6" t="s">
        <v>139</v>
      </c>
      <c r="D159" s="6"/>
      <c r="E159" s="6"/>
      <c r="F159" s="6" t="s">
        <v>267</v>
      </c>
    </row>
    <row r="160" customFormat="false" ht="15" hidden="false" customHeight="false" outlineLevel="0" collapsed="false">
      <c r="A160" s="6" t="s">
        <v>110</v>
      </c>
      <c r="B160" s="6" t="s">
        <v>229</v>
      </c>
      <c r="C160" s="6" t="s">
        <v>126</v>
      </c>
      <c r="D160" s="6"/>
      <c r="E160" s="6"/>
      <c r="F160" s="6" t="s">
        <v>245</v>
      </c>
    </row>
    <row r="161" customFormat="false" ht="15" hidden="false" customHeight="false" outlineLevel="0" collapsed="false">
      <c r="A161" s="6" t="s">
        <v>110</v>
      </c>
      <c r="B161" s="6" t="s">
        <v>167</v>
      </c>
      <c r="C161" s="6" t="s">
        <v>123</v>
      </c>
      <c r="D161" s="6" t="s">
        <v>129</v>
      </c>
      <c r="E161" s="6" t="s">
        <v>196</v>
      </c>
      <c r="F161" s="6" t="s">
        <v>245</v>
      </c>
    </row>
    <row r="162" customFormat="false" ht="15" hidden="false" customHeight="false" outlineLevel="0" collapsed="false">
      <c r="A162" s="6" t="s">
        <v>113</v>
      </c>
      <c r="B162" s="6" t="s">
        <v>122</v>
      </c>
      <c r="C162" s="6" t="s">
        <v>123</v>
      </c>
      <c r="D162" s="6" t="s">
        <v>124</v>
      </c>
      <c r="E162" s="6"/>
      <c r="F162" s="6"/>
    </row>
    <row r="163" customFormat="false" ht="15" hidden="false" customHeight="false" outlineLevel="0" collapsed="false">
      <c r="A163" s="6" t="s">
        <v>113</v>
      </c>
      <c r="B163" s="6" t="s">
        <v>268</v>
      </c>
      <c r="C163" s="6" t="s">
        <v>123</v>
      </c>
      <c r="D163" s="6" t="s">
        <v>129</v>
      </c>
      <c r="E163" s="6" t="s">
        <v>196</v>
      </c>
      <c r="F163" s="6" t="s">
        <v>245</v>
      </c>
    </row>
    <row r="164" customFormat="false" ht="15" hidden="false" customHeight="false" outlineLevel="0" collapsed="false">
      <c r="A164" s="6" t="s">
        <v>113</v>
      </c>
      <c r="B164" s="6" t="s">
        <v>269</v>
      </c>
      <c r="C164" s="6" t="s">
        <v>126</v>
      </c>
      <c r="D164" s="6"/>
      <c r="E164" s="6"/>
      <c r="F164" s="6" t="s">
        <v>245</v>
      </c>
    </row>
    <row r="165" customFormat="false" ht="15" hidden="false" customHeight="false" outlineLevel="0" collapsed="false">
      <c r="A165" s="6" t="s">
        <v>113</v>
      </c>
      <c r="B165" s="6" t="s">
        <v>270</v>
      </c>
      <c r="C165" s="6" t="s">
        <v>126</v>
      </c>
      <c r="D165" s="6"/>
      <c r="E165" s="6"/>
      <c r="F165" s="6" t="s">
        <v>245</v>
      </c>
    </row>
    <row r="166" customFormat="false" ht="15" hidden="false" customHeight="false" outlineLevel="0" collapsed="false">
      <c r="A166" s="6" t="s">
        <v>113</v>
      </c>
      <c r="B166" s="6" t="s">
        <v>271</v>
      </c>
      <c r="C166" s="6" t="s">
        <v>123</v>
      </c>
      <c r="D166" s="6"/>
      <c r="E166" s="6"/>
      <c r="F166" s="6" t="s">
        <v>245</v>
      </c>
    </row>
    <row r="167" customFormat="false" ht="15" hidden="false" customHeight="false" outlineLevel="0" collapsed="false">
      <c r="A167" s="6" t="s">
        <v>113</v>
      </c>
      <c r="B167" s="6" t="s">
        <v>272</v>
      </c>
      <c r="C167" s="6" t="s">
        <v>126</v>
      </c>
      <c r="D167" s="6"/>
      <c r="E167" s="6"/>
      <c r="F167" s="6" t="s">
        <v>245</v>
      </c>
    </row>
    <row r="168" customFormat="false" ht="15" hidden="false" customHeight="false" outlineLevel="0" collapsed="false">
      <c r="A168" s="6" t="s">
        <v>113</v>
      </c>
      <c r="B168" s="6" t="s">
        <v>169</v>
      </c>
      <c r="C168" s="6" t="s">
        <v>170</v>
      </c>
      <c r="D168" s="6"/>
      <c r="E168" s="6"/>
      <c r="F168" s="6" t="s">
        <v>245</v>
      </c>
    </row>
    <row r="169" customFormat="false" ht="15" hidden="false" customHeight="false" outlineLevel="0" collapsed="false">
      <c r="A169" s="6" t="s">
        <v>115</v>
      </c>
      <c r="B169" s="6" t="s">
        <v>122</v>
      </c>
      <c r="C169" s="6" t="s">
        <v>123</v>
      </c>
      <c r="D169" s="6" t="s">
        <v>124</v>
      </c>
      <c r="E169" s="6"/>
      <c r="F169" s="6"/>
    </row>
    <row r="170" customFormat="false" ht="15" hidden="false" customHeight="false" outlineLevel="0" collapsed="false">
      <c r="A170" s="6" t="s">
        <v>115</v>
      </c>
      <c r="B170" s="6" t="s">
        <v>270</v>
      </c>
      <c r="C170" s="6" t="s">
        <v>126</v>
      </c>
      <c r="D170" s="6"/>
      <c r="E170" s="6"/>
      <c r="F170" s="6" t="s">
        <v>245</v>
      </c>
    </row>
    <row r="171" customFormat="false" ht="15" hidden="false" customHeight="false" outlineLevel="0" collapsed="false">
      <c r="A171" s="6" t="s">
        <v>115</v>
      </c>
      <c r="B171" s="6" t="s">
        <v>271</v>
      </c>
      <c r="C171" s="6" t="s">
        <v>123</v>
      </c>
      <c r="D171" s="6"/>
      <c r="E171" s="6"/>
      <c r="F171" s="6" t="s">
        <v>245</v>
      </c>
    </row>
    <row r="172" customFormat="false" ht="15" hidden="false" customHeight="false" outlineLevel="0" collapsed="false">
      <c r="A172" s="6" t="s">
        <v>115</v>
      </c>
      <c r="B172" s="6" t="s">
        <v>273</v>
      </c>
      <c r="C172" s="6" t="s">
        <v>126</v>
      </c>
      <c r="D172" s="6"/>
      <c r="E172" s="6"/>
      <c r="F172" s="6" t="s">
        <v>245</v>
      </c>
    </row>
    <row r="173" customFormat="false" ht="15" hidden="false" customHeight="false" outlineLevel="0" collapsed="false">
      <c r="A173" s="6" t="s">
        <v>115</v>
      </c>
      <c r="B173" s="6" t="s">
        <v>274</v>
      </c>
      <c r="C173" s="6" t="s">
        <v>126</v>
      </c>
      <c r="D173" s="6"/>
      <c r="E173" s="6"/>
      <c r="F173" s="6" t="s">
        <v>245</v>
      </c>
    </row>
    <row r="174" customFormat="false" ht="15" hidden="false" customHeight="false" outlineLevel="0" collapsed="false">
      <c r="A174" s="6" t="s">
        <v>115</v>
      </c>
      <c r="B174" s="6" t="s">
        <v>169</v>
      </c>
      <c r="C174" s="6" t="s">
        <v>170</v>
      </c>
      <c r="D174" s="6"/>
      <c r="E174" s="6"/>
      <c r="F174" s="6" t="s">
        <v>245</v>
      </c>
    </row>
    <row r="175" customFormat="false" ht="15" hidden="false" customHeight="false" outlineLevel="0" collapsed="false">
      <c r="A175" s="6" t="s">
        <v>115</v>
      </c>
      <c r="B175" s="6" t="s">
        <v>275</v>
      </c>
      <c r="C175" s="6" t="s">
        <v>170</v>
      </c>
      <c r="D175" s="6"/>
      <c r="E175" s="6"/>
      <c r="F175" s="6" t="s">
        <v>276</v>
      </c>
    </row>
    <row r="176" customFormat="false" ht="15" hidden="false" customHeight="false" outlineLevel="0" collapsed="false">
      <c r="A176" s="6" t="s">
        <v>117</v>
      </c>
      <c r="B176" s="6" t="s">
        <v>122</v>
      </c>
      <c r="C176" s="6" t="s">
        <v>123</v>
      </c>
      <c r="D176" s="6" t="s">
        <v>124</v>
      </c>
      <c r="E176" s="6"/>
      <c r="F176" s="6"/>
    </row>
    <row r="177" customFormat="false" ht="15" hidden="false" customHeight="false" outlineLevel="0" collapsed="false">
      <c r="A177" s="6" t="s">
        <v>117</v>
      </c>
      <c r="B177" s="6" t="s">
        <v>169</v>
      </c>
      <c r="C177" s="6" t="s">
        <v>170</v>
      </c>
      <c r="D177" s="6"/>
      <c r="E177" s="6"/>
      <c r="F177" s="6" t="s">
        <v>245</v>
      </c>
    </row>
    <row r="178" customFormat="false" ht="15" hidden="false" customHeight="false" outlineLevel="0" collapsed="false">
      <c r="A178" s="6" t="s">
        <v>117</v>
      </c>
      <c r="B178" s="6" t="s">
        <v>277</v>
      </c>
      <c r="C178" s="6" t="s">
        <v>126</v>
      </c>
      <c r="D178" s="6"/>
      <c r="E178" s="6"/>
      <c r="F178" s="6" t="s">
        <v>245</v>
      </c>
    </row>
    <row r="179" customFormat="false" ht="15" hidden="false" customHeight="false" outlineLevel="0" collapsed="false">
      <c r="A179" s="6" t="s">
        <v>117</v>
      </c>
      <c r="B179" s="6" t="s">
        <v>278</v>
      </c>
      <c r="C179" s="6" t="s">
        <v>126</v>
      </c>
      <c r="D179" s="6"/>
      <c r="E179" s="6"/>
      <c r="F179" s="6" t="s">
        <v>245</v>
      </c>
    </row>
    <row r="180" customFormat="false" ht="15" hidden="false" customHeight="false" outlineLevel="0" collapsed="false">
      <c r="A180" s="6" t="s">
        <v>117</v>
      </c>
      <c r="B180" s="6" t="s">
        <v>279</v>
      </c>
      <c r="C180" s="6" t="s">
        <v>139</v>
      </c>
      <c r="D180" s="6"/>
      <c r="E180" s="6"/>
      <c r="F180" s="6" t="s">
        <v>245</v>
      </c>
    </row>
    <row r="181" customFormat="false" ht="15" hidden="false" customHeight="false" outlineLevel="0" collapsed="false">
      <c r="A181" s="6" t="s">
        <v>117</v>
      </c>
      <c r="B181" s="6" t="s">
        <v>280</v>
      </c>
      <c r="C181" s="6" t="s">
        <v>126</v>
      </c>
      <c r="D181" s="6"/>
      <c r="E181" s="6"/>
      <c r="F181" s="6" t="s">
        <v>245</v>
      </c>
    </row>
    <row r="182" customFormat="false" ht="15" hidden="false" customHeight="false" outlineLevel="0" collapsed="false">
      <c r="A182" s="6" t="s">
        <v>117</v>
      </c>
      <c r="B182" s="6" t="s">
        <v>202</v>
      </c>
      <c r="C182" s="6" t="s">
        <v>126</v>
      </c>
      <c r="D182" s="6"/>
      <c r="E182" s="6"/>
      <c r="F182" s="6" t="s">
        <v>245</v>
      </c>
    </row>
    <row r="183" customFormat="false" ht="15" hidden="false" customHeight="false" outlineLevel="0" collapsed="false">
      <c r="A183" s="6" t="s">
        <v>117</v>
      </c>
      <c r="B183" s="6" t="s">
        <v>281</v>
      </c>
      <c r="C183" s="6" t="s">
        <v>126</v>
      </c>
      <c r="D183" s="6"/>
      <c r="E183" s="6"/>
      <c r="F183" s="6" t="s">
        <v>245</v>
      </c>
    </row>
  </sheetData>
  <autoFilter ref="A1:F1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5" t="s">
        <v>282</v>
      </c>
      <c r="B1" s="5" t="s">
        <v>283</v>
      </c>
      <c r="C1" s="5" t="s">
        <v>284</v>
      </c>
      <c r="D1" s="5" t="s">
        <v>285</v>
      </c>
      <c r="E1" s="5" t="s">
        <v>286</v>
      </c>
    </row>
    <row r="2" customFormat="false" ht="15" hidden="false" customHeight="false" outlineLevel="0" collapsed="false">
      <c r="A2" s="6" t="s">
        <v>36</v>
      </c>
      <c r="B2" s="6" t="s">
        <v>43</v>
      </c>
      <c r="C2" s="6" t="s">
        <v>287</v>
      </c>
      <c r="D2" s="6" t="s">
        <v>288</v>
      </c>
      <c r="E2" s="6" t="s">
        <v>289</v>
      </c>
    </row>
    <row r="3" customFormat="false" ht="15" hidden="false" customHeight="false" outlineLevel="0" collapsed="false">
      <c r="A3" s="6" t="s">
        <v>41</v>
      </c>
      <c r="B3" s="6" t="s">
        <v>43</v>
      </c>
      <c r="C3" s="6" t="s">
        <v>287</v>
      </c>
      <c r="D3" s="6" t="s">
        <v>290</v>
      </c>
      <c r="E3" s="6" t="s">
        <v>291</v>
      </c>
    </row>
    <row r="4" customFormat="false" ht="15" hidden="false" customHeight="false" outlineLevel="0" collapsed="false">
      <c r="A4" s="6" t="s">
        <v>43</v>
      </c>
      <c r="B4" s="6" t="s">
        <v>46</v>
      </c>
      <c r="C4" s="6" t="s">
        <v>287</v>
      </c>
      <c r="D4" s="6" t="s">
        <v>292</v>
      </c>
      <c r="E4" s="6" t="s">
        <v>293</v>
      </c>
    </row>
    <row r="5" customFormat="false" ht="15" hidden="false" customHeight="false" outlineLevel="0" collapsed="false">
      <c r="A5" s="6" t="s">
        <v>54</v>
      </c>
      <c r="B5" s="6" t="s">
        <v>46</v>
      </c>
      <c r="C5" s="6" t="s">
        <v>287</v>
      </c>
      <c r="D5" s="6" t="s">
        <v>294</v>
      </c>
      <c r="E5" s="6" t="s">
        <v>295</v>
      </c>
    </row>
    <row r="6" customFormat="false" ht="15" hidden="false" customHeight="false" outlineLevel="0" collapsed="false">
      <c r="A6" s="6" t="s">
        <v>54</v>
      </c>
      <c r="B6" s="6" t="s">
        <v>57</v>
      </c>
      <c r="C6" s="6" t="s">
        <v>287</v>
      </c>
      <c r="D6" s="6" t="s">
        <v>296</v>
      </c>
      <c r="E6" s="6" t="s">
        <v>297</v>
      </c>
    </row>
    <row r="7" customFormat="false" ht="15" hidden="false" customHeight="false" outlineLevel="0" collapsed="false">
      <c r="A7" s="6" t="s">
        <v>57</v>
      </c>
      <c r="B7" s="6" t="s">
        <v>60</v>
      </c>
      <c r="C7" s="6" t="s">
        <v>298</v>
      </c>
      <c r="D7" s="6" t="s">
        <v>299</v>
      </c>
      <c r="E7" s="6" t="s">
        <v>300</v>
      </c>
    </row>
    <row r="8" customFormat="false" ht="15" hidden="false" customHeight="false" outlineLevel="0" collapsed="false">
      <c r="A8" s="6" t="s">
        <v>46</v>
      </c>
      <c r="B8" s="6" t="s">
        <v>60</v>
      </c>
      <c r="C8" s="6" t="s">
        <v>287</v>
      </c>
      <c r="D8" s="6" t="s">
        <v>301</v>
      </c>
      <c r="E8" s="6" t="s">
        <v>302</v>
      </c>
    </row>
    <row r="9" customFormat="false" ht="15" hidden="false" customHeight="false" outlineLevel="0" collapsed="false">
      <c r="A9" s="6" t="s">
        <v>54</v>
      </c>
      <c r="B9" s="6" t="s">
        <v>62</v>
      </c>
      <c r="C9" s="6" t="s">
        <v>287</v>
      </c>
      <c r="D9" s="6" t="s">
        <v>303</v>
      </c>
      <c r="E9" s="6" t="s">
        <v>304</v>
      </c>
    </row>
    <row r="10" customFormat="false" ht="15" hidden="false" customHeight="false" outlineLevel="0" collapsed="false">
      <c r="A10" s="6" t="s">
        <v>57</v>
      </c>
      <c r="B10" s="6" t="s">
        <v>62</v>
      </c>
      <c r="C10" s="6" t="s">
        <v>287</v>
      </c>
      <c r="D10" s="6" t="s">
        <v>305</v>
      </c>
      <c r="E10" s="6" t="s">
        <v>306</v>
      </c>
    </row>
    <row r="11" customFormat="false" ht="15" hidden="false" customHeight="false" outlineLevel="0" collapsed="false">
      <c r="A11" s="6" t="s">
        <v>62</v>
      </c>
      <c r="B11" s="6" t="s">
        <v>65</v>
      </c>
      <c r="C11" s="6" t="s">
        <v>298</v>
      </c>
      <c r="D11" s="6" t="s">
        <v>307</v>
      </c>
      <c r="E11" s="6" t="s">
        <v>308</v>
      </c>
    </row>
    <row r="12" customFormat="false" ht="15" hidden="false" customHeight="false" outlineLevel="0" collapsed="false">
      <c r="A12" s="6" t="s">
        <v>46</v>
      </c>
      <c r="B12" s="6" t="s">
        <v>65</v>
      </c>
      <c r="C12" s="6" t="s">
        <v>287</v>
      </c>
      <c r="D12" s="6" t="s">
        <v>309</v>
      </c>
      <c r="E12" s="6" t="s">
        <v>310</v>
      </c>
    </row>
    <row r="13" customFormat="false" ht="15" hidden="false" customHeight="false" outlineLevel="0" collapsed="false">
      <c r="A13" s="6" t="s">
        <v>46</v>
      </c>
      <c r="B13" s="6" t="s">
        <v>49</v>
      </c>
      <c r="C13" s="6" t="s">
        <v>287</v>
      </c>
      <c r="D13" s="6" t="s">
        <v>311</v>
      </c>
      <c r="E13" s="6" t="s">
        <v>312</v>
      </c>
    </row>
    <row r="14" customFormat="false" ht="15" hidden="false" customHeight="false" outlineLevel="0" collapsed="false">
      <c r="A14" s="6" t="s">
        <v>67</v>
      </c>
      <c r="B14" s="6" t="s">
        <v>71</v>
      </c>
      <c r="C14" s="6" t="s">
        <v>287</v>
      </c>
      <c r="D14" s="6" t="s">
        <v>313</v>
      </c>
      <c r="E14" s="6" t="s">
        <v>314</v>
      </c>
    </row>
    <row r="15" customFormat="false" ht="15" hidden="false" customHeight="false" outlineLevel="0" collapsed="false">
      <c r="A15" s="6" t="s">
        <v>91</v>
      </c>
      <c r="B15" s="6" t="s">
        <v>71</v>
      </c>
      <c r="C15" s="6" t="s">
        <v>287</v>
      </c>
      <c r="D15" s="6" t="s">
        <v>315</v>
      </c>
      <c r="E15" s="6" t="s">
        <v>316</v>
      </c>
    </row>
    <row r="16" customFormat="false" ht="15" hidden="false" customHeight="false" outlineLevel="0" collapsed="false">
      <c r="A16" s="6" t="s">
        <v>71</v>
      </c>
      <c r="B16" s="6" t="s">
        <v>75</v>
      </c>
      <c r="C16" s="6" t="s">
        <v>298</v>
      </c>
      <c r="D16" s="6" t="s">
        <v>317</v>
      </c>
      <c r="E16" s="6" t="s">
        <v>318</v>
      </c>
    </row>
    <row r="17" customFormat="false" ht="15" hidden="false" customHeight="false" outlineLevel="0" collapsed="false">
      <c r="A17" s="6" t="s">
        <v>43</v>
      </c>
      <c r="B17" s="6" t="s">
        <v>75</v>
      </c>
      <c r="C17" s="6" t="s">
        <v>287</v>
      </c>
      <c r="D17" s="6" t="s">
        <v>319</v>
      </c>
      <c r="E17" s="6" t="s">
        <v>320</v>
      </c>
    </row>
    <row r="18" customFormat="false" ht="15" hidden="false" customHeight="false" outlineLevel="0" collapsed="false">
      <c r="A18" s="6" t="s">
        <v>46</v>
      </c>
      <c r="B18" s="6" t="s">
        <v>75</v>
      </c>
      <c r="C18" s="6" t="s">
        <v>287</v>
      </c>
      <c r="D18" s="6" t="s">
        <v>321</v>
      </c>
      <c r="E18" s="6" t="s">
        <v>322</v>
      </c>
    </row>
    <row r="19" customFormat="false" ht="15" hidden="false" customHeight="false" outlineLevel="0" collapsed="false">
      <c r="A19" s="6" t="s">
        <v>71</v>
      </c>
      <c r="B19" s="6" t="s">
        <v>78</v>
      </c>
      <c r="C19" s="6" t="s">
        <v>287</v>
      </c>
      <c r="D19" s="6" t="s">
        <v>323</v>
      </c>
      <c r="E19" s="6" t="s">
        <v>324</v>
      </c>
    </row>
    <row r="20" customFormat="false" ht="15" hidden="false" customHeight="false" outlineLevel="0" collapsed="false">
      <c r="A20" s="6" t="s">
        <v>91</v>
      </c>
      <c r="B20" s="6" t="s">
        <v>78</v>
      </c>
      <c r="C20" s="6" t="s">
        <v>287</v>
      </c>
      <c r="D20" s="6" t="s">
        <v>325</v>
      </c>
      <c r="E20" s="6" t="s">
        <v>326</v>
      </c>
    </row>
    <row r="21" customFormat="false" ht="15" hidden="false" customHeight="false" outlineLevel="0" collapsed="false">
      <c r="A21" s="6" t="s">
        <v>78</v>
      </c>
      <c r="B21" s="6" t="s">
        <v>81</v>
      </c>
      <c r="C21" s="6" t="s">
        <v>298</v>
      </c>
      <c r="D21" s="6" t="s">
        <v>327</v>
      </c>
      <c r="E21" s="6" t="s">
        <v>328</v>
      </c>
    </row>
    <row r="22" customFormat="false" ht="15" hidden="false" customHeight="false" outlineLevel="0" collapsed="false">
      <c r="A22" s="6" t="s">
        <v>75</v>
      </c>
      <c r="B22" s="6" t="s">
        <v>81</v>
      </c>
      <c r="C22" s="6" t="s">
        <v>287</v>
      </c>
      <c r="D22" s="6" t="s">
        <v>329</v>
      </c>
      <c r="E22" s="6" t="s">
        <v>330</v>
      </c>
    </row>
    <row r="23" customFormat="false" ht="15" hidden="false" customHeight="false" outlineLevel="0" collapsed="false">
      <c r="A23" s="6" t="s">
        <v>67</v>
      </c>
      <c r="B23" s="6" t="s">
        <v>84</v>
      </c>
      <c r="C23" s="6" t="s">
        <v>287</v>
      </c>
      <c r="D23" s="6" t="s">
        <v>331</v>
      </c>
      <c r="E23" s="6" t="s">
        <v>332</v>
      </c>
    </row>
    <row r="24" customFormat="false" ht="15" hidden="false" customHeight="false" outlineLevel="0" collapsed="false">
      <c r="A24" s="6" t="s">
        <v>67</v>
      </c>
      <c r="B24" s="6" t="s">
        <v>88</v>
      </c>
      <c r="C24" s="6" t="s">
        <v>287</v>
      </c>
      <c r="D24" s="6" t="s">
        <v>333</v>
      </c>
      <c r="E24" s="6" t="s">
        <v>332</v>
      </c>
    </row>
  </sheetData>
  <autoFilter ref="A1:E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5" t="s">
        <v>119</v>
      </c>
      <c r="B1" s="5" t="s">
        <v>33</v>
      </c>
      <c r="C1" s="5" t="s">
        <v>334</v>
      </c>
      <c r="D1" s="5" t="s">
        <v>32</v>
      </c>
    </row>
    <row r="2" customFormat="false" ht="15" hidden="false" customHeight="false" outlineLevel="0" collapsed="false">
      <c r="A2" s="6" t="s">
        <v>249</v>
      </c>
      <c r="B2" s="6" t="s">
        <v>123</v>
      </c>
      <c r="C2" s="6" t="s">
        <v>335</v>
      </c>
      <c r="D2" s="6" t="s">
        <v>336</v>
      </c>
    </row>
    <row r="3" customFormat="false" ht="15" hidden="false" customHeight="false" outlineLevel="0" collapsed="false">
      <c r="A3" s="6" t="s">
        <v>252</v>
      </c>
      <c r="B3" s="6" t="s">
        <v>123</v>
      </c>
      <c r="C3" s="6" t="s">
        <v>335</v>
      </c>
      <c r="D3" s="6" t="s">
        <v>337</v>
      </c>
    </row>
    <row r="4" customFormat="false" ht="15" hidden="false" customHeight="false" outlineLevel="0" collapsed="false">
      <c r="A4" s="6" t="s">
        <v>259</v>
      </c>
      <c r="B4" s="6" t="s">
        <v>123</v>
      </c>
      <c r="C4" s="6" t="s">
        <v>335</v>
      </c>
      <c r="D4" s="6" t="s">
        <v>338</v>
      </c>
    </row>
    <row r="5" customFormat="false" ht="15" hidden="false" customHeight="false" outlineLevel="0" collapsed="false">
      <c r="A5" s="6" t="s">
        <v>169</v>
      </c>
      <c r="B5" s="6" t="s">
        <v>170</v>
      </c>
      <c r="C5" s="6" t="s">
        <v>335</v>
      </c>
      <c r="D5" s="6" t="s">
        <v>339</v>
      </c>
    </row>
    <row r="6" customFormat="false" ht="15" hidden="false" customHeight="false" outlineLevel="0" collapsed="false">
      <c r="A6" s="6" t="s">
        <v>340</v>
      </c>
      <c r="B6" s="6" t="s">
        <v>170</v>
      </c>
      <c r="C6" s="6" t="s">
        <v>341</v>
      </c>
      <c r="D6" s="6" t="s">
        <v>342</v>
      </c>
    </row>
    <row r="7" customFormat="false" ht="15" hidden="false" customHeight="false" outlineLevel="0" collapsed="false">
      <c r="A7" s="6" t="s">
        <v>343</v>
      </c>
      <c r="B7" s="6" t="s">
        <v>170</v>
      </c>
      <c r="C7" s="6" t="s">
        <v>341</v>
      </c>
      <c r="D7" s="6" t="s">
        <v>344</v>
      </c>
    </row>
    <row r="8" customFormat="false" ht="15" hidden="false" customHeight="false" outlineLevel="0" collapsed="false">
      <c r="A8" s="6" t="s">
        <v>345</v>
      </c>
      <c r="B8" s="6" t="s">
        <v>139</v>
      </c>
      <c r="C8" s="6" t="s">
        <v>335</v>
      </c>
      <c r="D8" s="6" t="s">
        <v>346</v>
      </c>
    </row>
    <row r="10" customFormat="false" ht="15" hidden="false" customHeight="false" outlineLevel="0" collapsed="false">
      <c r="A10" s="2" t="s">
        <v>347</v>
      </c>
    </row>
  </sheetData>
  <autoFilter ref="A1:D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5" t="s">
        <v>348</v>
      </c>
      <c r="B1" s="5" t="s">
        <v>349</v>
      </c>
    </row>
    <row r="2" customFormat="false" ht="23.85" hidden="false" customHeight="false" outlineLevel="0" collapsed="false">
      <c r="A2" s="6" t="s">
        <v>350</v>
      </c>
      <c r="B2" s="6" t="s">
        <v>351</v>
      </c>
    </row>
    <row r="3" customFormat="false" ht="15" hidden="false" customHeight="false" outlineLevel="0" collapsed="false">
      <c r="A3" s="6" t="s">
        <v>352</v>
      </c>
      <c r="B3" s="6" t="s">
        <v>353</v>
      </c>
    </row>
    <row r="4" customFormat="false" ht="15" hidden="false" customHeight="false" outlineLevel="0" collapsed="false">
      <c r="A4" s="6" t="s">
        <v>354</v>
      </c>
      <c r="B4" s="6" t="s">
        <v>355</v>
      </c>
    </row>
    <row r="5" customFormat="false" ht="15" hidden="false" customHeight="false" outlineLevel="0" collapsed="false">
      <c r="A5" s="6" t="s">
        <v>356</v>
      </c>
      <c r="B5" s="6" t="s">
        <v>357</v>
      </c>
    </row>
    <row r="6" customFormat="false" ht="15" hidden="false" customHeight="false" outlineLevel="0" collapsed="false">
      <c r="A6" s="6" t="s">
        <v>358</v>
      </c>
      <c r="B6" s="6" t="s">
        <v>359</v>
      </c>
    </row>
    <row r="7" customFormat="false" ht="15" hidden="false" customHeight="false" outlineLevel="0" collapsed="false">
      <c r="A7" s="6" t="s">
        <v>360</v>
      </c>
      <c r="B7" s="6" t="s">
        <v>361</v>
      </c>
    </row>
    <row r="8" customFormat="false" ht="15" hidden="false" customHeight="false" outlineLevel="0" collapsed="false">
      <c r="A8" s="6" t="s">
        <v>362</v>
      </c>
      <c r="B8" s="6" t="s">
        <v>363</v>
      </c>
    </row>
    <row r="9" customFormat="false" ht="15" hidden="false" customHeight="false" outlineLevel="0" collapsed="false">
      <c r="A9" s="6" t="s">
        <v>364</v>
      </c>
      <c r="B9" s="6" t="s">
        <v>365</v>
      </c>
    </row>
    <row r="10" customFormat="false" ht="15" hidden="false" customHeight="false" outlineLevel="0" collapsed="false">
      <c r="A10" s="6" t="s">
        <v>366</v>
      </c>
      <c r="B10" s="6" t="s">
        <v>367</v>
      </c>
    </row>
    <row r="11" customFormat="false" ht="15" hidden="false" customHeight="false" outlineLevel="0" collapsed="false">
      <c r="A11" s="6" t="s">
        <v>368</v>
      </c>
      <c r="B11" s="6" t="s">
        <v>369</v>
      </c>
    </row>
    <row r="12" customFormat="false" ht="15" hidden="false" customHeight="false" outlineLevel="0" collapsed="false">
      <c r="A12" s="6" t="s">
        <v>370</v>
      </c>
      <c r="B12" s="6" t="s">
        <v>371</v>
      </c>
    </row>
    <row r="13" customFormat="false" ht="15" hidden="false" customHeight="false" outlineLevel="0" collapsed="false">
      <c r="A13" s="6" t="s">
        <v>372</v>
      </c>
      <c r="B13" s="6" t="s">
        <v>373</v>
      </c>
    </row>
    <row r="14" customFormat="false" ht="15" hidden="false" customHeight="false" outlineLevel="0" collapsed="false">
      <c r="A14" s="6" t="s">
        <v>374</v>
      </c>
      <c r="B14" s="6" t="s">
        <v>375</v>
      </c>
    </row>
    <row r="15" customFormat="false" ht="15" hidden="false" customHeight="false" outlineLevel="0" collapsed="false">
      <c r="A15" s="6" t="s">
        <v>376</v>
      </c>
      <c r="B15" s="6" t="s">
        <v>377</v>
      </c>
    </row>
    <row r="16" customFormat="false" ht="15" hidden="false" customHeight="false" outlineLevel="0" collapsed="false">
      <c r="A16" s="6" t="s">
        <v>378</v>
      </c>
      <c r="B16" s="6" t="s">
        <v>379</v>
      </c>
    </row>
    <row r="17" customFormat="false" ht="15" hidden="false" customHeight="false" outlineLevel="0" collapsed="false">
      <c r="A17" s="6" t="s">
        <v>380</v>
      </c>
      <c r="B17" s="6" t="s">
        <v>381</v>
      </c>
    </row>
    <row r="18" customFormat="false" ht="15" hidden="false" customHeight="false" outlineLevel="0" collapsed="false">
      <c r="A18" s="6" t="s">
        <v>382</v>
      </c>
      <c r="B18" s="6" t="s">
        <v>383</v>
      </c>
    </row>
    <row r="19" customFormat="false" ht="15" hidden="false" customHeight="false" outlineLevel="0" collapsed="false">
      <c r="A19" s="6" t="s">
        <v>384</v>
      </c>
      <c r="B19" s="6" t="s">
        <v>385</v>
      </c>
    </row>
    <row r="20" customFormat="false" ht="15" hidden="false" customHeight="false" outlineLevel="0" collapsed="false">
      <c r="A20" s="6" t="s">
        <v>386</v>
      </c>
      <c r="B20" s="6" t="s">
        <v>387</v>
      </c>
    </row>
  </sheetData>
  <autoFilter ref="A1:B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0"/>
    <col collapsed="false" customWidth="true" hidden="false" outlineLevel="0" max="4" min="3" style="0" width="45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4" t="s">
        <v>388</v>
      </c>
    </row>
    <row r="3" customFormat="false" ht="15" hidden="false" customHeight="false" outlineLevel="0" collapsed="false">
      <c r="A3" s="5" t="s">
        <v>389</v>
      </c>
      <c r="B3" s="5" t="s">
        <v>390</v>
      </c>
      <c r="C3" s="5" t="s">
        <v>391</v>
      </c>
      <c r="D3" s="5" t="s">
        <v>392</v>
      </c>
      <c r="E3" s="5" t="s">
        <v>393</v>
      </c>
    </row>
    <row r="4" customFormat="false" ht="15" hidden="false" customHeight="false" outlineLevel="0" collapsed="false">
      <c r="A4" s="7" t="s">
        <v>394</v>
      </c>
      <c r="B4" s="7" t="s">
        <v>395</v>
      </c>
      <c r="C4" s="7" t="s">
        <v>396</v>
      </c>
      <c r="D4" s="7" t="s">
        <v>397</v>
      </c>
      <c r="E4" s="7" t="s">
        <v>398</v>
      </c>
    </row>
    <row r="5" customFormat="false" ht="23.85" hidden="false" customHeight="false" outlineLevel="0" collapsed="false">
      <c r="A5" s="6" t="n">
        <v>1</v>
      </c>
      <c r="B5" s="6" t="s">
        <v>399</v>
      </c>
      <c r="C5" s="6" t="s">
        <v>400</v>
      </c>
      <c r="D5" s="6" t="s">
        <v>401</v>
      </c>
      <c r="E5" s="8"/>
    </row>
    <row r="6" customFormat="false" ht="15" hidden="false" customHeight="false" outlineLevel="0" collapsed="false">
      <c r="A6" s="6" t="n">
        <v>2</v>
      </c>
      <c r="B6" s="6" t="s">
        <v>402</v>
      </c>
      <c r="C6" s="6" t="s">
        <v>403</v>
      </c>
      <c r="D6" s="6" t="s">
        <v>404</v>
      </c>
      <c r="E6" s="8"/>
    </row>
    <row r="7" customFormat="false" ht="15" hidden="false" customHeight="false" outlineLevel="0" collapsed="false">
      <c r="A7" s="6" t="n">
        <v>3</v>
      </c>
      <c r="B7" s="6" t="s">
        <v>405</v>
      </c>
      <c r="C7" s="6" t="s">
        <v>406</v>
      </c>
      <c r="D7" s="6" t="s">
        <v>407</v>
      </c>
      <c r="E7" s="8"/>
    </row>
    <row r="8" customFormat="false" ht="23.85" hidden="false" customHeight="false" outlineLevel="0" collapsed="false">
      <c r="A8" s="6" t="n">
        <v>4</v>
      </c>
      <c r="B8" s="6" t="s">
        <v>408</v>
      </c>
      <c r="C8" s="6" t="s">
        <v>409</v>
      </c>
      <c r="D8" s="6" t="s">
        <v>410</v>
      </c>
      <c r="E8" s="8"/>
    </row>
    <row r="9" customFormat="false" ht="15" hidden="false" customHeight="false" outlineLevel="0" collapsed="false">
      <c r="A9" s="6" t="n">
        <v>5</v>
      </c>
      <c r="B9" s="6" t="s">
        <v>411</v>
      </c>
      <c r="C9" s="6" t="s">
        <v>412</v>
      </c>
      <c r="D9" s="6" t="s">
        <v>413</v>
      </c>
      <c r="E9" s="8"/>
    </row>
    <row r="10" customFormat="false" ht="23.85" hidden="false" customHeight="false" outlineLevel="0" collapsed="false">
      <c r="A10" s="6" t="n">
        <v>6</v>
      </c>
      <c r="B10" s="6" t="s">
        <v>414</v>
      </c>
      <c r="C10" s="6" t="s">
        <v>415</v>
      </c>
      <c r="D10" s="6" t="s">
        <v>416</v>
      </c>
      <c r="E10" s="8"/>
    </row>
    <row r="11" customFormat="false" ht="15" hidden="false" customHeight="false" outlineLevel="0" collapsed="false">
      <c r="A11" s="6" t="n">
        <v>7</v>
      </c>
      <c r="B11" s="6" t="s">
        <v>417</v>
      </c>
      <c r="C11" s="6" t="s">
        <v>418</v>
      </c>
      <c r="D11" s="6" t="s">
        <v>419</v>
      </c>
      <c r="E1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2026-10-01T12:59:42Z</dcterms:created>
  <dc:creator>openpyxl</dc:creator>
  <dc:description/>
  <dc:language>en-US</dc:language>
  <cp:lastModifiedBy/>
  <dcterms:modified xsi:type="dcterms:W3CDTF">2026-10-01T12:59:42Z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